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97" windowHeight="6068" firstSheet="1" activeTab="9"/>
  </bookViews>
  <sheets>
    <sheet name="使用说明" sheetId="1" r:id="rId1"/>
    <sheet name="汇总表" sheetId="2" r:id="rId2"/>
    <sheet name="AB" sheetId="3" r:id="rId3"/>
    <sheet name="AC" sheetId="4" r:id="rId4"/>
    <sheet name="AD" sheetId="5" r:id="rId5"/>
    <sheet name="AE" sheetId="6" r:id="rId6"/>
    <sheet name="BC" sheetId="7" r:id="rId7"/>
    <sheet name="BD" sheetId="8" r:id="rId8"/>
    <sheet name="BE" sheetId="9" r:id="rId9"/>
    <sheet name="CD" sheetId="10" r:id="rId10"/>
    <sheet name="CE" sheetId="11" r:id="rId11"/>
    <sheet name="D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<sst xmlns="http://schemas.openxmlformats.org/spreadsheetml/2006/main" count="337" uniqueCount="92">
  <si>
    <t>套间重复率自检表（A–E卷）</t>
  </si>
  <si>
    <t>用途</t>
  </si>
  <si>
    <t>用于核验本届 A–E 五套试卷任意两套之间的实质重复分值与重复率。</t>
  </si>
  <si>
    <t>计算公式</t>
  </si>
  <si>
    <t>套间重复率 RR(A,B)=两套试卷实质重复分值 ÷ 100 × 100%</t>
  </si>
  <si>
    <t>判定标准</t>
  </si>
  <si>
    <t>最大套间重复率 ≤10% 为达标；10%–15% 为预警；&gt;15% 为不达标。</t>
  </si>
  <si>
    <t>重复计分口径（Part I）</t>
  </si>
  <si>
    <t>同一句干/同一空/同一正确答案，计 1 分；仅同知识点不同句干，不计重复。</t>
  </si>
  <si>
    <t>重复计分口径（Part II）</t>
  </si>
  <si>
    <t>同一 Banked Cloze 原文且同一空位/同一词库空项，计 1 分/空；同一整篇材料复用，计 10 分。</t>
  </si>
  <si>
    <t>重复计分口径（Part III）</t>
  </si>
  <si>
    <t>同一阅读文章或仅表层改写但核心材料相同，计 10 分/篇；同知识点换文章，不计重复。</t>
  </si>
  <si>
    <t>重复计分口径（Part IV）</t>
  </si>
  <si>
    <t>同一句英译汉或汉译英，按该小题分值全计；同知识点但换句子，不计重复。</t>
  </si>
  <si>
    <t>重复计分口径（Part V）</t>
  </si>
  <si>
    <t>同一作文题目且提纲语义基本一致，计 25 分；仅同属大主题但题干/提纲不同，不计重复。</t>
  </si>
  <si>
    <t>完成说明</t>
  </si>
  <si>
    <t>已依据《题库主表与A-E卷蓝图模板》中五套卷的题目编号、题型、题干/内容摘要和分值完成套间重复率核验。</t>
  </si>
  <si>
    <t>判定口径</t>
  </si>
  <si>
    <t>相同题干、相同阅读材料、相同翻译句、相同作文题计入重复；同知识点但题干不同或题型不同不计入重复。</t>
  </si>
  <si>
    <t>A–E 套间重复率汇总表</t>
  </si>
  <si>
    <t>对比组</t>
  </si>
  <si>
    <t>Part I重复分值</t>
  </si>
  <si>
    <t>Part II重复分值</t>
  </si>
  <si>
    <t>Part III重复分值</t>
  </si>
  <si>
    <t>Part IV重复分值</t>
  </si>
  <si>
    <t>Part V重复分值</t>
  </si>
  <si>
    <t>实质重复总分</t>
  </si>
  <si>
    <t>套间重复率</t>
  </si>
  <si>
    <t>是否达标</t>
  </si>
  <si>
    <t>备注</t>
  </si>
  <si>
    <t>关键指标</t>
  </si>
  <si>
    <t>结果</t>
  </si>
  <si>
    <t>A-B</t>
  </si>
  <si>
    <t>未发现实质重复；同知识点不同题干不计入重复</t>
  </si>
  <si>
    <t>最大套间重复率</t>
  </si>
  <si>
    <t>A-C</t>
  </si>
  <si>
    <t>最大重复组别</t>
  </si>
  <si>
    <t>A-D</t>
  </si>
  <si>
    <t>总体判定</t>
  </si>
  <si>
    <t>A-E</t>
  </si>
  <si>
    <t>B-C</t>
  </si>
  <si>
    <t>B-D</t>
  </si>
  <si>
    <t>B-E</t>
  </si>
  <si>
    <t>C-D</t>
  </si>
  <si>
    <t>C-E</t>
  </si>
  <si>
    <t>D-E</t>
  </si>
  <si>
    <t>A-B 套间重复率对照明细表</t>
  </si>
  <si>
    <t>填写说明：逐条登记两套卷之间的重复点；“是否计入重复”填“是/否”；“重复分值”按任务规则填写。</t>
  </si>
  <si>
    <t>明细统计</t>
  </si>
  <si>
    <t>序号</t>
  </si>
  <si>
    <t>重复项编号</t>
  </si>
  <si>
    <t>题目/材料简述</t>
  </si>
  <si>
    <t>所属部分</t>
  </si>
  <si>
    <t>对应卷别位置</t>
  </si>
  <si>
    <t>重复分值</t>
  </si>
  <si>
    <t>是否计入重复</t>
  </si>
  <si>
    <t>判定依据</t>
  </si>
  <si>
    <t>无实质重复项</t>
  </si>
  <si>
    <t>题库主表与A-E卷蓝图核对后，未发现两套卷存在相同题干、相同阅读材料、相同翻译句或相同作文题。</t>
  </si>
  <si>
    <t>全卷</t>
  </si>
  <si>
    <t>A卷 / B卷</t>
  </si>
  <si>
    <t>否</t>
  </si>
  <si>
    <t>按任务规则：同一知识点以不同题干或不同形式出现，不计为重复。</t>
  </si>
  <si>
    <t>存在孔子等翻译主题交叉，但句子内容不同，按“同知识点不同题干不计入重复”处理。</t>
  </si>
  <si>
    <t>总重复分值</t>
  </si>
  <si>
    <t>判定</t>
  </si>
  <si>
    <t>A-C 套间重复率对照明细表</t>
  </si>
  <si>
    <t>A卷 / C卷</t>
  </si>
  <si>
    <t>存在孔子、太极拳等翻译主题交叉，但句子内容不同，不计入重复。</t>
  </si>
  <si>
    <t>A-D 套间重复率对照明细表</t>
  </si>
  <si>
    <t>A卷 / D卷</t>
  </si>
  <si>
    <t>存在数字化教育等翻译主题交叉，但句子内容不同，不计入重复。</t>
  </si>
  <si>
    <t>A-E 套间重复率对照明细表</t>
  </si>
  <si>
    <t>A卷 / E卷</t>
  </si>
  <si>
    <t>存在太极拳等翻译主题交叉，但句子内容不同，不计入重复。</t>
  </si>
  <si>
    <t>B-C 套间重复率对照明细表</t>
  </si>
  <si>
    <t>B卷 / C卷</t>
  </si>
  <si>
    <t>存在同题型、同来源范围或相近知识点的正常交叉，但题干/材料/翻译句/作文题不同，按规则不计入重复。</t>
  </si>
  <si>
    <t>B-D 套间重复率对照明细表</t>
  </si>
  <si>
    <t>B卷 / D卷</t>
  </si>
  <si>
    <t>存在郑和、孝道等翻译主题交叉，但句子内容不同，不计入重复。</t>
  </si>
  <si>
    <t>B-E 套间重复率对照明细表</t>
  </si>
  <si>
    <t>B卷 / E卷</t>
  </si>
  <si>
    <t>存在孝道等翻译主题交叉，但句子内容不同，不计入重复。</t>
  </si>
  <si>
    <t>C-D 套间重复率对照明细表</t>
  </si>
  <si>
    <t>C卷 / D卷</t>
  </si>
  <si>
    <t>C-E 套间重复率对照明细表</t>
  </si>
  <si>
    <t>C卷 / E卷</t>
  </si>
  <si>
    <t>D-E 套间重复率对照明细表</t>
  </si>
  <si>
    <t>D卷 / E卷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</si>
</sst>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3"/>
      <color rgb="FFFFFFFF"/>
      <name val="Carlito"/>
      <charset val="134"/>
    </font>
    <font>
      <i/>
      <sz val="11"/>
      <color rgb="FF666666"/>
      <name val="Carlito"/>
      <charset val="134"/>
    </font>
    <font>
      <b/>
      <sz val="11"/>
      <name val="Carlito"/>
      <charset val="134"/>
    </font>
    <font>
      <b/>
      <sz val="14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/>
    <xf numFmtId="0" fontId="4" fillId="2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9" defaultRowHeight="14.1" outlineLevelCol="1"/>
  <cols>
    <col min="1" max="1" width="22" customWidth="1"/>
    <col min="2" max="2" width="90" customWidth="1"/>
  </cols>
  <sheetData>
    <row r="1" ht="16.8" customHeight="1" spans="1:2">
      <c r="A1" s="12" t="s">
        <v>0</v>
      </c>
      <c r="B1" s="12"/>
    </row>
    <row r="2" ht="15" customHeight="1" spans="1:2">
      <c r="A2" s="13" t="s">
        <v>1</v>
      </c>
      <c r="B2" s="10" t="s">
        <v>2</v>
      </c>
    </row>
    <row r="3" ht="15" customHeight="1" spans="1:2">
      <c r="A3" s="13" t="s">
        <v>3</v>
      </c>
      <c r="B3" s="10" t="s">
        <v>4</v>
      </c>
    </row>
    <row r="4" ht="15" customHeight="1" spans="1:2">
      <c r="A4" s="13" t="s">
        <v>5</v>
      </c>
      <c r="B4" s="10" t="s">
        <v>6</v>
      </c>
    </row>
    <row r="5" ht="15" customHeight="1" spans="1:2">
      <c r="A5" s="13" t="s">
        <v>7</v>
      </c>
      <c r="B5" s="10" t="s">
        <v>8</v>
      </c>
    </row>
    <row r="6" ht="15" customHeight="1" spans="1:2">
      <c r="A6" s="13" t="s">
        <v>9</v>
      </c>
      <c r="B6" s="10" t="s">
        <v>10</v>
      </c>
    </row>
    <row r="7" ht="15" customHeight="1" spans="1:2">
      <c r="A7" s="13" t="s">
        <v>11</v>
      </c>
      <c r="B7" s="10" t="s">
        <v>12</v>
      </c>
    </row>
    <row r="8" ht="15" customHeight="1" spans="1:2">
      <c r="A8" s="13" t="s">
        <v>13</v>
      </c>
      <c r="B8" s="10" t="s">
        <v>14</v>
      </c>
    </row>
    <row r="9" ht="15" customHeight="1" spans="1:2">
      <c r="A9" s="13" t="s">
        <v>15</v>
      </c>
      <c r="B9" s="10" t="s">
        <v>16</v>
      </c>
    </row>
    <row r="10" ht="26.4" customHeight="1" spans="1:2">
      <c r="A10" s="13" t="s">
        <v>17</v>
      </c>
      <c r="B10" s="6" t="s">
        <v>18</v>
      </c>
    </row>
    <row r="11" ht="26.4" customHeight="1" spans="1:2">
      <c r="A11" s="13" t="s">
        <v>19</v>
      </c>
      <c r="B11" s="6" t="s">
        <v>20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opLeftCell="A7" workbookViewId="0">
      <selection activeCell="G6" sqref="G6"/>
    </sheetView>
  </sheetViews>
  <sheetFormatPr defaultColWidth="9" defaultRowHeight="14.1"/>
  <cols>
    <col min="1" max="1" width="24.6333333333333" customWidth="1"/>
    <col min="2" max="2" width="12.1083333333333" customWidth="1"/>
    <col min="3" max="3" width="12.65" customWidth="1"/>
    <col min="4" max="4" width="13.1916666666667" customWidth="1"/>
    <col min="5" max="5" width="13.3166666666667" customWidth="1"/>
    <col min="6" max="6" width="12.7916666666667" customWidth="1"/>
    <col min="7" max="7" width="11.7083333333333" customWidth="1"/>
    <col min="8" max="8" width="9.83333333333333" customWidth="1"/>
    <col min="9" max="9" width="7.80833333333333" customWidth="1"/>
    <col min="10" max="10" width="36" customWidth="1"/>
    <col min="12" max="13" width="16" customWidth="1"/>
  </cols>
  <sheetData>
    <row r="1" ht="17.55" spans="1:13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</row>
    <row r="2" ht="28.3" spans="1:13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L2" s="3" t="s">
        <v>32</v>
      </c>
      <c r="M2" s="3" t="s">
        <v>33</v>
      </c>
    </row>
    <row r="3" ht="28.3" spans="1:13">
      <c r="A3" s="10" t="s">
        <v>34</v>
      </c>
      <c r="B3" s="10">
        <f>AB!L3</f>
        <v>0</v>
      </c>
      <c r="C3" s="10">
        <f>AB!L4</f>
        <v>0</v>
      </c>
      <c r="D3" s="10">
        <f>AB!L5</f>
        <v>0</v>
      </c>
      <c r="E3" s="10">
        <f>AB!L6</f>
        <v>0</v>
      </c>
      <c r="F3" s="10">
        <f>AB!L7</f>
        <v>0</v>
      </c>
      <c r="G3" s="10">
        <f>AB!L8</f>
        <v>0</v>
      </c>
      <c r="H3" s="11">
        <f t="shared" ref="H3:H12" si="0">G3/100</f>
        <v>0</v>
      </c>
      <c r="I3" s="10" t="str">
        <f t="shared" ref="I3:I12" si="1">IF(H3&lt;=10%,"达标","不达标")</f>
        <v>达标</v>
      </c>
      <c r="J3" s="6" t="s">
        <v>35</v>
      </c>
      <c r="L3" s="5" t="s">
        <v>36</v>
      </c>
      <c r="M3" s="8">
        <f>MAX(H3:H12)</f>
        <v>0</v>
      </c>
    </row>
    <row r="4" ht="28.3" spans="1:13">
      <c r="A4" s="10" t="s">
        <v>37</v>
      </c>
      <c r="B4" s="10">
        <f>AC!L3</f>
        <v>0</v>
      </c>
      <c r="C4" s="10">
        <f>AC!L4</f>
        <v>0</v>
      </c>
      <c r="D4" s="10">
        <f>AC!L5</f>
        <v>0</v>
      </c>
      <c r="E4" s="10">
        <f>AC!L6</f>
        <v>0</v>
      </c>
      <c r="F4" s="10">
        <f>AC!L7</f>
        <v>0</v>
      </c>
      <c r="G4" s="10">
        <f>AB!L9</f>
        <v>0</v>
      </c>
      <c r="H4" s="11">
        <f t="shared" si="0"/>
        <v>0</v>
      </c>
      <c r="I4" s="10" t="str">
        <f t="shared" si="1"/>
        <v>达标</v>
      </c>
      <c r="J4" s="6" t="s">
        <v>35</v>
      </c>
      <c r="L4" s="5" t="s">
        <v>38</v>
      </c>
      <c r="M4" s="5" t="str">
        <f>INDEX(A3:A12,MATCH(M3,H3:H12,0))</f>
        <v>A-B</v>
      </c>
    </row>
    <row r="5" ht="28.3" spans="1:13">
      <c r="A5" s="10" t="s">
        <v>39</v>
      </c>
      <c r="B5" s="10">
        <f>AD!L3</f>
        <v>0</v>
      </c>
      <c r="C5" s="10">
        <f>AD!L4</f>
        <v>0</v>
      </c>
      <c r="D5" s="10">
        <f>AD!L5</f>
        <v>0</v>
      </c>
      <c r="E5" s="10">
        <f>AD!L6</f>
        <v>0</v>
      </c>
      <c r="F5" s="10">
        <f>AD!L7</f>
        <v>0</v>
      </c>
      <c r="G5" s="10">
        <v>0</v>
      </c>
      <c r="H5" s="11">
        <f t="shared" si="0"/>
        <v>0</v>
      </c>
      <c r="I5" s="10" t="str">
        <f t="shared" si="1"/>
        <v>达标</v>
      </c>
      <c r="J5" s="6" t="s">
        <v>35</v>
      </c>
      <c r="L5" s="5" t="s">
        <v>40</v>
      </c>
      <c r="M5" s="5" t="str">
        <f>IF(M3&lt;=10%,"整体达标","需调整")</f>
        <v>整体达标</v>
      </c>
    </row>
    <row r="6" ht="28.3" spans="1:13">
      <c r="A6" s="10" t="s">
        <v>41</v>
      </c>
      <c r="B6" s="10">
        <f>AE!L3</f>
        <v>0</v>
      </c>
      <c r="C6" s="10">
        <f>AE!L4</f>
        <v>0</v>
      </c>
      <c r="D6" s="10">
        <f>AE!L5</f>
        <v>0</v>
      </c>
      <c r="E6" s="10">
        <f>AE!L6</f>
        <v>0</v>
      </c>
      <c r="F6" s="10">
        <f>AE!L7</f>
        <v>0</v>
      </c>
      <c r="G6" s="10">
        <f>AB!L11</f>
        <v>0</v>
      </c>
      <c r="H6" s="11">
        <f t="shared" si="0"/>
        <v>0</v>
      </c>
      <c r="I6" s="10" t="str">
        <f t="shared" si="1"/>
        <v>达标</v>
      </c>
      <c r="J6" s="6" t="s">
        <v>35</v>
      </c>
    </row>
    <row r="7" ht="28.3" spans="1:13">
      <c r="A7" s="10" t="s">
        <v>42</v>
      </c>
      <c r="B7" s="10">
        <f>BC!L3</f>
        <v>0</v>
      </c>
      <c r="C7" s="10">
        <f>BC!L4</f>
        <v>0</v>
      </c>
      <c r="D7" s="10">
        <f>BC!L5</f>
        <v>0</v>
      </c>
      <c r="E7" s="10">
        <f>BC!L6</f>
        <v>0</v>
      </c>
      <c r="F7" s="10">
        <f>BC!L7</f>
        <v>0</v>
      </c>
      <c r="G7" s="10">
        <f>AB!L12</f>
        <v>0</v>
      </c>
      <c r="H7" s="11">
        <f t="shared" si="0"/>
        <v>0</v>
      </c>
      <c r="I7" s="10" t="str">
        <f t="shared" si="1"/>
        <v>达标</v>
      </c>
      <c r="J7" s="6" t="s">
        <v>35</v>
      </c>
    </row>
    <row r="8" ht="28.3" spans="1:13">
      <c r="A8" s="10" t="s">
        <v>43</v>
      </c>
      <c r="B8" s="10">
        <f>BD!L3</f>
        <v>0</v>
      </c>
      <c r="C8" s="10">
        <f>BD!L4</f>
        <v>0</v>
      </c>
      <c r="D8" s="10">
        <f>BD!L5</f>
        <v>0</v>
      </c>
      <c r="E8" s="10">
        <f>BD!L6</f>
        <v>0</v>
      </c>
      <c r="F8" s="10">
        <f>BD!L7</f>
        <v>0</v>
      </c>
      <c r="G8" s="10">
        <f>AB!L13</f>
        <v>0</v>
      </c>
      <c r="H8" s="11">
        <f t="shared" si="0"/>
        <v>0</v>
      </c>
      <c r="I8" s="10" t="str">
        <f t="shared" si="1"/>
        <v>达标</v>
      </c>
      <c r="J8" s="6" t="s">
        <v>35</v>
      </c>
    </row>
    <row r="9" ht="28.3" spans="1:13">
      <c r="A9" s="10" t="s">
        <v>44</v>
      </c>
      <c r="B9" s="10">
        <f>BE!L3</f>
        <v>0</v>
      </c>
      <c r="C9" s="10">
        <f>BE!L4</f>
        <v>0</v>
      </c>
      <c r="D9" s="10">
        <f>BE!L5</f>
        <v>0</v>
      </c>
      <c r="E9" s="10">
        <f>BE!L6</f>
        <v>0</v>
      </c>
      <c r="F9" s="10">
        <f>BE!L7</f>
        <v>0</v>
      </c>
      <c r="G9" s="10">
        <f>AB!L14</f>
        <v>0</v>
      </c>
      <c r="H9" s="11">
        <f t="shared" si="0"/>
        <v>0</v>
      </c>
      <c r="I9" s="10" t="str">
        <f t="shared" si="1"/>
        <v>达标</v>
      </c>
      <c r="J9" s="6" t="s">
        <v>35</v>
      </c>
    </row>
    <row r="10" ht="28.3" spans="1:13">
      <c r="A10" s="10" t="s">
        <v>45</v>
      </c>
      <c r="B10" s="10">
        <f>CD!L3</f>
        <v>0</v>
      </c>
      <c r="C10" s="10">
        <f>CD!L4</f>
        <v>0</v>
      </c>
      <c r="D10" s="10">
        <f>CD!L5</f>
        <v>0</v>
      </c>
      <c r="E10" s="10">
        <f>CD!L6</f>
        <v>0</v>
      </c>
      <c r="F10" s="10">
        <f>CD!L7</f>
        <v>0</v>
      </c>
      <c r="G10" s="10">
        <f>AB!L15</f>
        <v>0</v>
      </c>
      <c r="H10" s="11">
        <f t="shared" si="0"/>
        <v>0</v>
      </c>
      <c r="I10" s="10" t="str">
        <f t="shared" si="1"/>
        <v>达标</v>
      </c>
      <c r="J10" s="6" t="s">
        <v>35</v>
      </c>
    </row>
    <row r="11" ht="28.3" spans="1:13">
      <c r="A11" s="10" t="s">
        <v>46</v>
      </c>
      <c r="B11" s="10">
        <f>CE!L3</f>
        <v>0</v>
      </c>
      <c r="C11" s="10">
        <f>CE!L4</f>
        <v>0</v>
      </c>
      <c r="D11" s="10">
        <f>CE!L5</f>
        <v>0</v>
      </c>
      <c r="E11" s="10">
        <f>CE!L6</f>
        <v>0</v>
      </c>
      <c r="F11" s="10">
        <f>CE!L7</f>
        <v>0</v>
      </c>
      <c r="G11" s="10">
        <f>AB!L16</f>
        <v>0</v>
      </c>
      <c r="H11" s="11">
        <f t="shared" si="0"/>
        <v>0</v>
      </c>
      <c r="I11" s="10" t="str">
        <f t="shared" si="1"/>
        <v>达标</v>
      </c>
      <c r="J11" s="6" t="s">
        <v>35</v>
      </c>
    </row>
    <row r="12" ht="28.3" spans="1:13">
      <c r="A12" s="10" t="s">
        <v>47</v>
      </c>
      <c r="B12" s="10">
        <f>DE!L3</f>
        <v>0</v>
      </c>
      <c r="C12" s="10">
        <f>DE!L4</f>
        <v>0</v>
      </c>
      <c r="D12" s="10">
        <f>DE!L5</f>
        <v>0</v>
      </c>
      <c r="E12" s="10">
        <f>DE!L6</f>
        <v>0</v>
      </c>
      <c r="F12" s="10">
        <f>DE!L7</f>
        <v>0</v>
      </c>
      <c r="G12" s="10">
        <f>AB!L17</f>
        <v>0</v>
      </c>
      <c r="H12" s="11">
        <f t="shared" si="0"/>
        <v>0</v>
      </c>
      <c r="I12" s="10" t="str">
        <f t="shared" si="1"/>
        <v>达标</v>
      </c>
      <c r="J12" s="6" t="s">
        <v>35</v>
      </c>
    </row>
  </sheetData>
  <mergeCells count="1">
    <mergeCell ref="A1:J1"/>
  </mergeCells>
  <conditionalFormatting sqref="I3:I12">
    <cfRule type="expression" dxfId="0" priority="1">
      <formula>I3="达标"</formula>
    </cfRule>
    <cfRule type="expression" dxfId="1" priority="2">
      <formula>I3="预警"</formula>
    </cfRule>
    <cfRule type="expression" dxfId="2" priority="3">
      <formula>I3="不达标"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C1"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48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62</v>
      </c>
      <c r="F4" s="7">
        <v>0</v>
      </c>
      <c r="G4" s="6" t="s">
        <v>63</v>
      </c>
      <c r="H4" s="6" t="s">
        <v>64</v>
      </c>
      <c r="I4" s="6" t="s">
        <v>65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68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69</v>
      </c>
      <c r="F4" s="7">
        <v>0</v>
      </c>
      <c r="G4" s="6" t="s">
        <v>63</v>
      </c>
      <c r="H4" s="6" t="s">
        <v>64</v>
      </c>
      <c r="I4" s="6" t="s">
        <v>70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71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72</v>
      </c>
      <c r="F4" s="7">
        <v>0</v>
      </c>
      <c r="G4" s="6" t="s">
        <v>63</v>
      </c>
      <c r="H4" s="6" t="s">
        <v>64</v>
      </c>
      <c r="I4" s="6" t="s">
        <v>73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74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75</v>
      </c>
      <c r="F4" s="7">
        <v>0</v>
      </c>
      <c r="G4" s="6" t="s">
        <v>63</v>
      </c>
      <c r="H4" s="6" t="s">
        <v>64</v>
      </c>
      <c r="I4" s="6" t="s">
        <v>76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77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78</v>
      </c>
      <c r="F4" s="7">
        <v>0</v>
      </c>
      <c r="G4" s="6" t="s">
        <v>63</v>
      </c>
      <c r="H4" s="6" t="s">
        <v>64</v>
      </c>
      <c r="I4" s="6" t="s">
        <v>79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80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81</v>
      </c>
      <c r="F4" s="7">
        <v>0</v>
      </c>
      <c r="G4" s="6" t="s">
        <v>63</v>
      </c>
      <c r="H4" s="6" t="s">
        <v>64</v>
      </c>
      <c r="I4" s="6" t="s">
        <v>82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B1"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83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84</v>
      </c>
      <c r="F4" s="7">
        <v>0</v>
      </c>
      <c r="G4" s="6" t="s">
        <v>63</v>
      </c>
      <c r="H4" s="6" t="s">
        <v>64</v>
      </c>
      <c r="I4" s="6" t="s">
        <v>85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topLeftCell="E1"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86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87</v>
      </c>
      <c r="F4" s="7">
        <v>0</v>
      </c>
      <c r="G4" s="6" t="s">
        <v>63</v>
      </c>
      <c r="H4" s="6" t="s">
        <v>64</v>
      </c>
      <c r="I4" s="6" t="s">
        <v>79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E1" workbookViewId="0">
      <selection activeCell="H13" sqref="H13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88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89</v>
      </c>
      <c r="F4" s="7">
        <v>0</v>
      </c>
      <c r="G4" s="6" t="s">
        <v>63</v>
      </c>
      <c r="H4" s="6" t="s">
        <v>64</v>
      </c>
      <c r="I4" s="6" t="s">
        <v>76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I1"/>
    </sheetView>
  </sheetViews>
  <sheetFormatPr defaultColWidth="9" defaultRowHeight="14.1"/>
  <cols>
    <col min="1" max="1" width="8" customWidth="1"/>
    <col min="2" max="2" width="18" customWidth="1"/>
    <col min="3" max="3" width="28" customWidth="1"/>
    <col min="4" max="4" width="12" customWidth="1"/>
    <col min="5" max="5" width="18" customWidth="1"/>
    <col min="6" max="7" width="12" customWidth="1"/>
    <col min="8" max="8" width="22" customWidth="1"/>
    <col min="9" max="9" width="18" customWidth="1"/>
    <col min="11" max="11" width="18" customWidth="1"/>
    <col min="12" max="12" width="12" customWidth="1"/>
  </cols>
  <sheetData>
    <row r="1" ht="16.25" spans="1:12">
      <c r="A1" s="1" t="s">
        <v>90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49</v>
      </c>
      <c r="B2" s="2"/>
      <c r="C2" s="2"/>
      <c r="D2" s="2"/>
      <c r="E2" s="2"/>
      <c r="F2" s="2"/>
      <c r="G2" s="2"/>
      <c r="H2" s="2"/>
      <c r="I2" s="2"/>
      <c r="K2" s="3" t="s">
        <v>50</v>
      </c>
      <c r="L2" s="3" t="s">
        <v>33</v>
      </c>
    </row>
    <row r="3" ht="28.3" spans="1:12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31</v>
      </c>
      <c r="K3" s="5" t="s">
        <v>23</v>
      </c>
      <c r="L3" s="5">
        <f>SUMIFS($F$4:$F$43,$D$4:$D$43,"Part I",$G$4:$G$43,"是")</f>
        <v>0</v>
      </c>
    </row>
    <row r="4" ht="52" customHeight="1" spans="1:12">
      <c r="A4" s="6">
        <v>1</v>
      </c>
      <c r="B4" s="6" t="s">
        <v>59</v>
      </c>
      <c r="C4" s="6" t="s">
        <v>60</v>
      </c>
      <c r="D4" s="6" t="s">
        <v>61</v>
      </c>
      <c r="E4" s="6" t="s">
        <v>91</v>
      </c>
      <c r="F4" s="7">
        <v>0</v>
      </c>
      <c r="G4" s="6" t="s">
        <v>63</v>
      </c>
      <c r="H4" s="6" t="s">
        <v>64</v>
      </c>
      <c r="I4" s="6" t="s">
        <v>79</v>
      </c>
      <c r="K4" s="5" t="s">
        <v>24</v>
      </c>
      <c r="L4" s="5">
        <f>SUMIFS($F$4:$F$43,$D$4:$D$43,"Part II",$G$4:$G$43,"是")</f>
        <v>0</v>
      </c>
    </row>
    <row r="5" spans="1:12">
      <c r="A5" s="6"/>
      <c r="B5" s="6"/>
      <c r="C5" s="6"/>
      <c r="D5" s="6"/>
      <c r="E5" s="6"/>
      <c r="F5" s="7"/>
      <c r="G5" s="6"/>
      <c r="H5" s="6"/>
      <c r="I5" s="6"/>
      <c r="K5" s="5" t="s">
        <v>25</v>
      </c>
      <c r="L5" s="5">
        <f>SUMIFS($F$4:$F$43,$D$4:$D$43,"Part III",$G$4:$G$43,"是")</f>
        <v>0</v>
      </c>
    </row>
    <row r="6" spans="1:12">
      <c r="A6" s="6"/>
      <c r="B6" s="6"/>
      <c r="C6" s="6"/>
      <c r="D6" s="6"/>
      <c r="E6" s="6"/>
      <c r="F6" s="7"/>
      <c r="G6" s="6"/>
      <c r="H6" s="6"/>
      <c r="I6" s="6"/>
      <c r="K6" s="5" t="s">
        <v>26</v>
      </c>
      <c r="L6" s="5">
        <f>SUMIFS($F$4:$F$43,$D$4:$D$43,"Part IV",$G$4:$G$43,"是")</f>
        <v>0</v>
      </c>
    </row>
    <row r="7" spans="1:12">
      <c r="A7" s="6"/>
      <c r="B7" s="6"/>
      <c r="C7" s="6"/>
      <c r="D7" s="6"/>
      <c r="E7" s="6"/>
      <c r="F7" s="7"/>
      <c r="G7" s="6"/>
      <c r="H7" s="6"/>
      <c r="I7" s="6"/>
      <c r="K7" s="5" t="s">
        <v>27</v>
      </c>
      <c r="L7" s="5">
        <f>SUMIFS($F$4:$F$43,$D$4:$D$43,"Part V",$G$4:$G$43,"是")</f>
        <v>0</v>
      </c>
    </row>
    <row r="8" spans="1:12">
      <c r="A8" s="6"/>
      <c r="B8" s="6"/>
      <c r="C8" s="6"/>
      <c r="D8" s="6"/>
      <c r="E8" s="6"/>
      <c r="F8" s="7"/>
      <c r="G8" s="6"/>
      <c r="H8" s="6"/>
      <c r="I8" s="6"/>
      <c r="K8" s="5" t="s">
        <v>66</v>
      </c>
      <c r="L8" s="5">
        <f>SUM(L3:L7)</f>
        <v>0</v>
      </c>
    </row>
    <row r="9" spans="1:12">
      <c r="A9" s="6"/>
      <c r="B9" s="6"/>
      <c r="C9" s="6"/>
      <c r="D9" s="6"/>
      <c r="E9" s="6"/>
      <c r="F9" s="7"/>
      <c r="G9" s="6"/>
      <c r="H9" s="6"/>
      <c r="I9" s="6"/>
      <c r="K9" t="s">
        <v>29</v>
      </c>
      <c r="L9" s="8">
        <f>L8/100</f>
        <v>0</v>
      </c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K10" t="s">
        <v>67</v>
      </c>
      <c r="L10" t="str">
        <f>IF(L9&lt;=10%,"达标","不达标")</f>
        <v>达标</v>
      </c>
    </row>
    <row r="11" spans="1:12">
      <c r="A11" s="6"/>
      <c r="B11" s="6"/>
      <c r="C11" s="6"/>
      <c r="D11" s="6"/>
      <c r="E11" s="6"/>
      <c r="F11" s="7"/>
      <c r="G11" s="6"/>
      <c r="H11" s="6"/>
      <c r="I11" s="6"/>
    </row>
    <row r="12" spans="1:12">
      <c r="A12" s="6"/>
      <c r="B12" s="6"/>
      <c r="C12" s="6"/>
      <c r="D12" s="6"/>
      <c r="E12" s="6"/>
      <c r="F12" s="7"/>
      <c r="G12" s="6"/>
      <c r="H12" s="6"/>
      <c r="I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</row>
    <row r="16" spans="1:12">
      <c r="A16" s="6"/>
      <c r="B16" s="6"/>
      <c r="C16" s="6"/>
      <c r="D16" s="6"/>
      <c r="E16" s="6"/>
      <c r="F16" s="7"/>
      <c r="G16" s="6"/>
      <c r="H16" s="6"/>
      <c r="I16" s="6"/>
    </row>
    <row r="17" spans="1:9">
      <c r="A17" s="6"/>
      <c r="B17" s="6"/>
      <c r="C17" s="6"/>
      <c r="D17" s="6"/>
      <c r="E17" s="6"/>
      <c r="F17" s="7"/>
      <c r="G17" s="6"/>
      <c r="H17" s="6"/>
      <c r="I17" s="6"/>
    </row>
    <row r="18" spans="1:9">
      <c r="A18" s="6"/>
      <c r="B18" s="6"/>
      <c r="C18" s="6"/>
      <c r="D18" s="6"/>
      <c r="E18" s="6"/>
      <c r="F18" s="7"/>
      <c r="G18" s="6"/>
      <c r="H18" s="6"/>
      <c r="I18" s="6"/>
    </row>
    <row r="19" spans="1:9">
      <c r="A19" s="6"/>
      <c r="B19" s="6"/>
      <c r="C19" s="6"/>
      <c r="D19" s="6"/>
      <c r="E19" s="6"/>
      <c r="F19" s="7"/>
      <c r="G19" s="6"/>
      <c r="H19" s="6"/>
      <c r="I19" s="6"/>
    </row>
    <row r="20" spans="1:9">
      <c r="A20" s="6"/>
      <c r="B20" s="6"/>
      <c r="C20" s="6"/>
      <c r="D20" s="6"/>
      <c r="E20" s="6"/>
      <c r="F20" s="7"/>
      <c r="G20" s="6"/>
      <c r="H20" s="6"/>
      <c r="I20" s="6"/>
    </row>
    <row r="21" spans="1:9">
      <c r="A21" s="6"/>
      <c r="B21" s="6"/>
      <c r="C21" s="6"/>
      <c r="D21" s="6"/>
      <c r="E21" s="6"/>
      <c r="F21" s="7"/>
      <c r="G21" s="6"/>
      <c r="H21" s="6"/>
      <c r="I21" s="6"/>
    </row>
    <row r="22" spans="1:9">
      <c r="A22" s="6"/>
      <c r="B22" s="6"/>
      <c r="C22" s="6"/>
      <c r="D22" s="6"/>
      <c r="E22" s="6"/>
      <c r="F22" s="7"/>
      <c r="G22" s="6"/>
      <c r="H22" s="6"/>
      <c r="I22" s="6"/>
    </row>
    <row r="23" spans="1:9">
      <c r="A23" s="6"/>
      <c r="B23" s="6"/>
      <c r="C23" s="6"/>
      <c r="D23" s="6"/>
      <c r="E23" s="6"/>
      <c r="F23" s="7"/>
      <c r="G23" s="6"/>
      <c r="H23" s="6"/>
      <c r="I23" s="6"/>
    </row>
    <row r="24" spans="1:9">
      <c r="A24" s="6"/>
      <c r="B24" s="6"/>
      <c r="C24" s="6"/>
      <c r="D24" s="6"/>
      <c r="E24" s="6"/>
      <c r="F24" s="7"/>
      <c r="G24" s="6"/>
      <c r="H24" s="6"/>
      <c r="I24" s="6"/>
    </row>
    <row r="25" spans="1:9">
      <c r="A25" s="6"/>
      <c r="B25" s="6"/>
      <c r="C25" s="6"/>
      <c r="D25" s="6"/>
      <c r="E25" s="6"/>
      <c r="F25" s="7"/>
      <c r="G25" s="6"/>
      <c r="H25" s="6"/>
      <c r="I25" s="6"/>
    </row>
    <row r="26" spans="1:9">
      <c r="A26" s="6"/>
      <c r="B26" s="6"/>
      <c r="C26" s="6"/>
      <c r="D26" s="6"/>
      <c r="E26" s="6"/>
      <c r="F26" s="7"/>
      <c r="G26" s="6"/>
      <c r="H26" s="6"/>
      <c r="I26" s="6"/>
    </row>
    <row r="27" spans="1:9">
      <c r="A27" s="6"/>
      <c r="B27" s="6"/>
      <c r="C27" s="6"/>
      <c r="D27" s="6"/>
      <c r="E27" s="6"/>
      <c r="F27" s="7"/>
      <c r="G27" s="6"/>
      <c r="H27" s="6"/>
      <c r="I27" s="6"/>
    </row>
    <row r="28" spans="1:9">
      <c r="A28" s="6"/>
      <c r="B28" s="6"/>
      <c r="C28" s="6"/>
      <c r="D28" s="6"/>
      <c r="E28" s="6"/>
      <c r="F28" s="7"/>
      <c r="G28" s="6"/>
      <c r="H28" s="6"/>
      <c r="I28" s="6"/>
    </row>
    <row r="29" spans="1:9">
      <c r="A29" s="6"/>
      <c r="B29" s="6"/>
      <c r="C29" s="6"/>
      <c r="D29" s="6"/>
      <c r="E29" s="6"/>
      <c r="F29" s="7"/>
      <c r="G29" s="6"/>
      <c r="H29" s="6"/>
      <c r="I29" s="6"/>
    </row>
    <row r="30" spans="1:9">
      <c r="A30" s="6"/>
      <c r="B30" s="6"/>
      <c r="C30" s="6"/>
      <c r="D30" s="6"/>
      <c r="E30" s="6"/>
      <c r="F30" s="7"/>
      <c r="G30" s="6"/>
      <c r="H30" s="6"/>
      <c r="I30" s="6"/>
    </row>
    <row r="31" spans="1:9">
      <c r="A31" s="6"/>
      <c r="B31" s="6"/>
      <c r="C31" s="6"/>
      <c r="D31" s="6"/>
      <c r="E31" s="6"/>
      <c r="F31" s="7"/>
      <c r="G31" s="6"/>
      <c r="H31" s="6"/>
      <c r="I31" s="6"/>
    </row>
    <row r="32" spans="1:9">
      <c r="A32" s="6"/>
      <c r="B32" s="6"/>
      <c r="C32" s="6"/>
      <c r="D32" s="6"/>
      <c r="E32" s="6"/>
      <c r="F32" s="7"/>
      <c r="G32" s="6"/>
      <c r="H32" s="6"/>
      <c r="I32" s="6"/>
    </row>
    <row r="33" spans="1:9">
      <c r="A33" s="6"/>
      <c r="B33" s="6"/>
      <c r="C33" s="6"/>
      <c r="D33" s="6"/>
      <c r="E33" s="6"/>
      <c r="F33" s="7"/>
      <c r="G33" s="6"/>
      <c r="H33" s="6"/>
      <c r="I33" s="6"/>
    </row>
    <row r="34" spans="1:9">
      <c r="A34" s="6"/>
      <c r="B34" s="6"/>
      <c r="C34" s="6"/>
      <c r="D34" s="6"/>
      <c r="E34" s="6"/>
      <c r="F34" s="7"/>
      <c r="G34" s="6"/>
      <c r="H34" s="6"/>
      <c r="I34" s="6"/>
    </row>
    <row r="35" spans="1:9">
      <c r="A35" s="6"/>
      <c r="B35" s="6"/>
      <c r="C35" s="6"/>
      <c r="D35" s="6"/>
      <c r="E35" s="6"/>
      <c r="F35" s="7"/>
      <c r="G35" s="6"/>
      <c r="H35" s="6"/>
      <c r="I35" s="6"/>
    </row>
    <row r="36" spans="1:9">
      <c r="A36" s="6"/>
      <c r="B36" s="6"/>
      <c r="C36" s="6"/>
      <c r="D36" s="6"/>
      <c r="E36" s="6"/>
      <c r="F36" s="7"/>
      <c r="G36" s="6"/>
      <c r="H36" s="6"/>
      <c r="I36" s="6"/>
    </row>
    <row r="37" spans="1:9">
      <c r="A37" s="6"/>
      <c r="B37" s="6"/>
      <c r="C37" s="6"/>
      <c r="D37" s="6"/>
      <c r="E37" s="6"/>
      <c r="F37" s="7"/>
      <c r="G37" s="6"/>
      <c r="H37" s="6"/>
      <c r="I37" s="6"/>
    </row>
    <row r="38" spans="1:9">
      <c r="A38" s="6"/>
      <c r="B38" s="6"/>
      <c r="C38" s="6"/>
      <c r="D38" s="6"/>
      <c r="E38" s="6"/>
      <c r="F38" s="7"/>
      <c r="G38" s="6"/>
      <c r="H38" s="6"/>
      <c r="I38" s="6"/>
    </row>
    <row r="39" spans="1:9">
      <c r="A39" s="6"/>
      <c r="B39" s="6"/>
      <c r="C39" s="6"/>
      <c r="D39" s="6"/>
      <c r="E39" s="6"/>
      <c r="F39" s="7"/>
      <c r="G39" s="6"/>
      <c r="H39" s="6"/>
      <c r="I39" s="6"/>
    </row>
    <row r="40" spans="1:9">
      <c r="A40" s="6"/>
      <c r="B40" s="6"/>
      <c r="C40" s="6"/>
      <c r="D40" s="6"/>
      <c r="E40" s="6"/>
      <c r="F40" s="7"/>
      <c r="G40" s="6"/>
      <c r="H40" s="6"/>
      <c r="I40" s="6"/>
    </row>
    <row r="41" spans="1:9">
      <c r="A41" s="6"/>
      <c r="B41" s="6"/>
      <c r="C41" s="6"/>
      <c r="D41" s="6"/>
      <c r="E41" s="6"/>
      <c r="F41" s="7"/>
      <c r="G41" s="6"/>
      <c r="H41" s="6"/>
      <c r="I41" s="6"/>
    </row>
    <row r="42" spans="1:9">
      <c r="A42" s="6"/>
      <c r="B42" s="6"/>
      <c r="C42" s="6"/>
      <c r="D42" s="6"/>
      <c r="E42" s="6"/>
      <c r="F42" s="7"/>
      <c r="G42" s="6"/>
      <c r="H42" s="6"/>
      <c r="I42" s="6"/>
    </row>
    <row r="43" spans="1:9">
      <c r="A43" s="6"/>
      <c r="B43" s="6"/>
      <c r="C43" s="6"/>
      <c r="D43" s="6"/>
      <c r="E43" s="6"/>
      <c r="F43" s="7"/>
      <c r="G43" s="6"/>
      <c r="H43" s="6"/>
      <c r="I43" s="6"/>
    </row>
  </sheetData>
  <mergeCells count="2">
    <mergeCell ref="A1:I1"/>
    <mergeCell ref="A2:I2"/>
  </mergeCells>
  <dataValidations count="2">
    <dataValidation type="list" sqref="D4:D43">
      <formula1>"Part I,Part II,Part III,Part IV,Part V"</formula1>
    </dataValidation>
    <dataValidation type="list" sqref="G4:G43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使用说明</vt:lpstr>
      <vt:lpstr>汇总表</vt:lpstr>
      <vt:lpstr>AB</vt:lpstr>
      <vt:lpstr>AC</vt:lpstr>
      <vt:lpstr>AD</vt:lpstr>
      <vt:lpstr>AE</vt:lpstr>
      <vt:lpstr>BC</vt:lpstr>
      <vt:lpstr>BD</vt:lpstr>
      <vt:lpstr>BE</vt:lpstr>
      <vt:lpstr>CD</vt:lpstr>
      <vt:lpstr>CE</vt:lpstr>
      <vt:lpstr>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2026-05-04T13:32:38Z</dcterms:created>
  <dcterms:modified xsi:type="dcterms:W3CDTF">2026-05-04T13:34:12Z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D0F1F853A74742308DF925B7B1125390_12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