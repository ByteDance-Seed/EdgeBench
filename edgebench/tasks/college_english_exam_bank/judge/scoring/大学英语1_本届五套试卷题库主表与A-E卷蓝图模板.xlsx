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597" windowHeight="6068" firstSheet="5" activeTab="9"/>
  </bookViews>
  <sheets>
    <sheet name="使用说明" sheetId="1" r:id="rId1"/>
    <sheet name="教材范围确认" sheetId="2" r:id="rId2"/>
    <sheet name="教材内容题库主表" sheetId="3" r:id="rId3"/>
    <sheet name="四级内容题库主表" sheetId="4" r:id="rId4"/>
    <sheet name="五套蓝图总览" sheetId="5" r:id="rId5"/>
    <sheet name="A卷蓝图" sheetId="6" r:id="rId6"/>
    <sheet name="B卷蓝图" sheetId="7" r:id="rId7"/>
    <sheet name="C卷蓝图" sheetId="8" r:id="rId8"/>
    <sheet name="D卷蓝图" sheetId="9" r:id="rId9"/>
    <sheet name="E卷蓝图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<sst xmlns="http://schemas.openxmlformats.org/spreadsheetml/2006/main" count="4457" uniqueCount="657">
  <si>
    <t>《大学英语1》五套试卷题库主表与A–E卷蓝图模板</t>
  </si>
  <si>
    <t>说明：本工作簿依据已上传 Unit 1/2/3/4/6 教材PPT 与本届 A–E 卷现有卷面内容整理，仅做“本届五套试卷题库范围确认 + 编号主表 + 蓝图模板”。</t>
  </si>
  <si>
    <t>项目</t>
  </si>
  <si>
    <t>内容</t>
  </si>
  <si>
    <t>说明</t>
  </si>
  <si>
    <t>教材范围确认</t>
  </si>
  <si>
    <t>已上传教材PPT仅覆盖 Unit 1 / 2 / 3 / 4 / 6，因此本表将这5个单元作为本届教材题库的可确认范围。</t>
  </si>
  <si>
    <t>教材内容题库主表</t>
  </si>
  <si>
    <t>收录 Part I（表达应用）、Part II（Banked Cloze）、Part IV（翻译）全部题目并逐题编号。</t>
  </si>
  <si>
    <t>四级内容题库主表</t>
  </si>
  <si>
    <t>收录 Part III（阅读理解）与 Part V（写作）全部题目并逐题编号。</t>
  </si>
  <si>
    <t>蓝图模板</t>
  </si>
  <si>
    <t>按 A–E 卷分别列出本届现有题目蓝图，便于后续做重复率统计、组卷核验和命名交付。</t>
  </si>
  <si>
    <t>重要提醒</t>
  </si>
  <si>
    <t>Part I 中少量表达（如 above all, deal with, pass away 等）未在已上传PPT截图/文本中直接定位到具体单元，故标记为“教材通用表达 / PPT未直接定位”。</t>
  </si>
  <si>
    <t>已上传教材PPT确认范围（Units 1 / 2 / 3 / 4 / 6）</t>
  </si>
  <si>
    <t>单元</t>
  </si>
  <si>
    <t>PPT文件</t>
  </si>
  <si>
    <t>单元标题</t>
  </si>
  <si>
    <t>已确认Banked Cloze主题</t>
  </si>
  <si>
    <t>已确认Expressions in Use范围</t>
  </si>
  <si>
    <t>备注</t>
  </si>
  <si>
    <t>Unit 1</t>
  </si>
  <si>
    <t>1.pptx</t>
  </si>
  <si>
    <t>Fresh start</t>
  </si>
  <si>
    <t>Reasons for going to college</t>
  </si>
  <si>
    <t>all at once; get by; in advance; make the most of; open the door to; over time; reap the benefits; stand a chance of; take pleasure in</t>
  </si>
  <si>
    <t>可直接作为本届教材题库范围依据</t>
  </si>
  <si>
    <t>Unit 2</t>
  </si>
  <si>
    <t>2.pptx</t>
  </si>
  <si>
    <t>Loving parents, loving children</t>
  </si>
  <si>
    <t>Parent-teen communication</t>
  </si>
  <si>
    <t>at a time; free of; keep back; reverse oneself; straighten up; throw away; with open arms</t>
  </si>
  <si>
    <t>Unit 3</t>
  </si>
  <si>
    <t>3.pptx</t>
  </si>
  <si>
    <t>Heroes of our time</t>
  </si>
  <si>
    <t>Yuan Longping and hybrid rice</t>
  </si>
  <si>
    <t>as well as; at first; keep on; lie down; lift ... out of; name ... after; speak for itself; talk of; turn one's attention to; work on</t>
  </si>
  <si>
    <t>Unit 4</t>
  </si>
  <si>
    <t>4.pptx</t>
  </si>
  <si>
    <t>Social media matters</t>
  </si>
  <si>
    <t>Social media and mental health</t>
  </si>
  <si>
    <t>as for; be headed for; contribute to; cut ... off from; fly into a rage; go along; in particular; interfere with; no doubt; thanks to</t>
  </si>
  <si>
    <t>Unit 6</t>
  </si>
  <si>
    <t>6.pptx</t>
  </si>
  <si>
    <t>Winning is not everything</t>
  </si>
  <si>
    <t>Cricket and sports culture</t>
  </si>
  <si>
    <t>fall ill; give away; in attendance; leave ... behind; might as well; regardless of; to this day; up to</t>
  </si>
  <si>
    <t>本届五套卷 Part II（Banked Cloze）与教材单元对应关系</t>
  </si>
  <si>
    <t/>
  </si>
  <si>
    <t>卷别</t>
  </si>
  <si>
    <t>Part II 对应单元</t>
  </si>
  <si>
    <t>Banked Cloze主题</t>
  </si>
  <si>
    <t>依据</t>
  </si>
  <si>
    <t>是否在PPT中可直接定位</t>
  </si>
  <si>
    <t>A卷</t>
  </si>
  <si>
    <t>Unit 3 Heroes of our time</t>
  </si>
  <si>
    <t>与上传PPT词库/篇章一致</t>
  </si>
  <si>
    <t>是</t>
  </si>
  <si>
    <t>可作为教材范围确认的核心证据</t>
  </si>
  <si>
    <t>B卷</t>
  </si>
  <si>
    <t>Unit 2 Loving parents, loving children</t>
  </si>
  <si>
    <t>C卷</t>
  </si>
  <si>
    <t>Unit 1 Fresh start</t>
  </si>
  <si>
    <t>D卷</t>
  </si>
  <si>
    <t>Unit 4 Social media matters</t>
  </si>
  <si>
    <t>E卷</t>
  </si>
  <si>
    <t>Unit 6 Winning is not everything</t>
  </si>
  <si>
    <t>教材内容题库主表（Part I / Part II / Part IV）</t>
  </si>
  <si>
    <t>说明：本表按“每道题/每个空/每个翻译句子”逐项编号，共 135 条；Part I 中少量未能从已上传PPT直接定位到单元的表达，已标为“教材通用表达 / PPT未直接定位”。</t>
  </si>
  <si>
    <t>题目编号</t>
  </si>
  <si>
    <t>内容类别</t>
  </si>
  <si>
    <t>Part</t>
  </si>
  <si>
    <t>题型</t>
  </si>
  <si>
    <t>小题序号</t>
  </si>
  <si>
    <t>来源单元/范围</t>
  </si>
  <si>
    <t>知识点/表达</t>
  </si>
  <si>
    <t>题干/内容摘要</t>
  </si>
  <si>
    <t>分值</t>
  </si>
  <si>
    <t>难度</t>
  </si>
  <si>
    <t>JC-EXP-A-01</t>
  </si>
  <si>
    <t>教材内容</t>
  </si>
  <si>
    <t>Part I</t>
  </si>
  <si>
    <t>Expressions In Use</t>
  </si>
  <si>
    <t>interfere with</t>
  </si>
  <si>
    <t>My parents do not object to my taking a part-time job, but they remind me not to let it interfere _______ my schoolwork.</t>
  </si>
  <si>
    <t>易</t>
  </si>
  <si>
    <t>PPT可定位</t>
  </si>
  <si>
    <t>来源于课内表达应用/变化题型</t>
  </si>
  <si>
    <t>JC-EXP-A-02</t>
  </si>
  <si>
    <t>教材通用表达</t>
  </si>
  <si>
    <t>above all</t>
  </si>
  <si>
    <t>We should not work just to make money. _______ all, money isn’t everything.</t>
  </si>
  <si>
    <t>PPT未直接定位</t>
  </si>
  <si>
    <t>JC-EXP-A-03</t>
  </si>
  <si>
    <t>name ... after</t>
  </si>
  <si>
    <t>He was widely known as the Father of Hybrid Rice, and even an asteroid was named _______ him.</t>
  </si>
  <si>
    <t>JC-EXP-A-04</t>
  </si>
  <si>
    <t>as for</t>
  </si>
  <si>
    <t>Becky is doing very well as a fresher in college; as _______ her twin sister Carol, she needs more time to adjust to the new environment.</t>
  </si>
  <si>
    <t>JC-EXP-A-05</t>
  </si>
  <si>
    <t>work on</t>
  </si>
  <si>
    <t>The professor has been working _______ an article about how to learn a foreign language more effectively.</t>
  </si>
  <si>
    <t>JC-EXP-A-06</t>
  </si>
  <si>
    <t>in attendance</t>
  </si>
  <si>
    <t>Thousands of people were ______ attendance at yesterday’s concert by a  popular band, which caused great excitement.</t>
  </si>
  <si>
    <t>JC-EXP-A-07</t>
  </si>
  <si>
    <t>might as well</t>
  </si>
  <si>
    <t>If you are not going to take this project seriously, we might ______ well ask someone else to join us.</t>
  </si>
  <si>
    <t>JC-EXP-A-08</t>
  </si>
  <si>
    <t>make friends with</t>
  </si>
  <si>
    <t>He wants to make friends ______ the new boy in his class.</t>
  </si>
  <si>
    <t>JC-EXP-A-09</t>
  </si>
  <si>
    <t>lie down</t>
  </si>
  <si>
    <t>After walking a while he lay _______ in the leaf-shade, quite hidden.</t>
  </si>
  <si>
    <t>JC-EXP-A-10</t>
  </si>
  <si>
    <t>in particular</t>
  </si>
  <si>
    <t>With four years’ training, he hopes to share traditional Chinese Gongfu with more people, young people _______ particular.</t>
  </si>
  <si>
    <t>JC-EXP-B-01</t>
  </si>
  <si>
    <t>speak for itself</t>
  </si>
  <si>
    <t>I don’t need to say more about how effective this new method can be. The results speak _______ themselves.</t>
  </si>
  <si>
    <t>JC-EXP-B-02</t>
  </si>
  <si>
    <t>up to</t>
  </si>
  <si>
    <t>The National Stadium, also famously known as the Bird’s Nest, can hold up ______  91,000 spectators.</t>
  </si>
  <si>
    <t>JC-EXP-B-03</t>
  </si>
  <si>
    <t>deal with</t>
  </si>
  <si>
    <t>We must take positive steps to deal _______ the problem.</t>
  </si>
  <si>
    <t>JC-EXP-B-04</t>
  </si>
  <si>
    <t>as well as</t>
  </si>
  <si>
    <t>John is very talented. He is a famous musician as well _______ a productive writer.</t>
  </si>
  <si>
    <t>JC-EXP-B-05</t>
  </si>
  <si>
    <t>at first</t>
  </si>
  <si>
    <t>_______ first, I thought he was joking, but then I realized that he was very serious.</t>
  </si>
  <si>
    <t>JC-EXP-B-06</t>
  </si>
  <si>
    <t>end up</t>
  </si>
  <si>
    <t>Her academic performance declined, and sadly, she ended _______ needing  psychiatric treatment.</t>
  </si>
  <si>
    <t>JC-EXP-B-07</t>
  </si>
  <si>
    <t>regardless of</t>
  </si>
  <si>
    <t>If he is determined to do something, he will do it regardless ______ what other  people say.</t>
  </si>
  <si>
    <t>JC-EXP-B-08</t>
  </si>
  <si>
    <t>to this day</t>
  </si>
  <si>
    <t>They got to know each other in their 20s and ______ this day, they are still in close     touch.</t>
  </si>
  <si>
    <t>JC-EXP-B-09</t>
  </si>
  <si>
    <t>go along</t>
  </si>
  <si>
    <t>For the local basketball team, the situation went _______ quite well until about the midpoint of the season.</t>
  </si>
  <si>
    <t>JC-EXP-B-10</t>
  </si>
  <si>
    <t>as long as / keep on</t>
  </si>
  <si>
    <t>10. As long ______ you keep practicing, you will play the piano well.</t>
  </si>
  <si>
    <t>JC-EXP-C-01</t>
  </si>
  <si>
    <t>turn one's attention to</t>
  </si>
  <si>
    <t>We should move away from traditional energy sources, and begin to turn our attention  _______ cleaner forms of energy.</t>
  </si>
  <si>
    <t>JC-EXP-C-02</t>
  </si>
  <si>
    <t>keep on</t>
  </si>
  <si>
    <t>If you like table tennis and keep _______ practicing it, you will become very good at it.</t>
  </si>
  <si>
    <t>JC-EXP-C-03</t>
  </si>
  <si>
    <t>contribute to</t>
  </si>
  <si>
    <t>Paper-making, printing, gunpowder, and the compass – the four great inventions of  ancient China – greatly contribute _______ world civilization.</t>
  </si>
  <si>
    <t>JC-EXP-C-04</t>
  </si>
  <si>
    <t>fly into a rage</t>
  </si>
  <si>
    <t>Being the youngest child in the family, Jason often flew _______ a rage whenever his  request was denied by his parents.</t>
  </si>
  <si>
    <t>JC-EXP-C-05</t>
  </si>
  <si>
    <t>give away</t>
  </si>
  <si>
    <t>Mr. Adams told us he was going to give ______ 10 percent of his salary to charity every  month.</t>
  </si>
  <si>
    <t>JC-EXP-C-06</t>
  </si>
  <si>
    <t>devote oneself to</t>
  </si>
  <si>
    <t>Although he was famous, he chose to stay away from the spotlight and devoted  himself _______ rice growing.</t>
  </si>
  <si>
    <t>JC-EXP-C-07</t>
  </si>
  <si>
    <t>be headed for</t>
  </si>
  <si>
    <t>You will be headed _______ trouble if you don’t get those brakes fixed.</t>
  </si>
  <si>
    <t>JC-EXP-C-08</t>
  </si>
  <si>
    <t>with open arms</t>
  </si>
  <si>
    <t>I have never really had any problems with change. On the contrary, I welcome  change _______ open arms.</t>
  </si>
  <si>
    <t>JC-EXP-C-09</t>
  </si>
  <si>
    <t>be interested in</t>
  </si>
  <si>
    <t>Lily isn’t interested ______ history because she thinks it’s boring.</t>
  </si>
  <si>
    <t>JC-EXP-C-10</t>
  </si>
  <si>
    <t>get ready for</t>
  </si>
  <si>
    <t>10. They are getting ready ______ the sports meeting next week.</t>
  </si>
  <si>
    <t>JC-EXP-D-01</t>
  </si>
  <si>
    <t>thanks to</t>
  </si>
  <si>
    <t>Thanks _______ the fearless efforts of firefighters, the fire was put out before it  could spread in the neighborhood.</t>
  </si>
  <si>
    <t>JC-EXP-D-02</t>
  </si>
  <si>
    <t>take pleasure in</t>
  </si>
  <si>
    <t>He took pleasure _______ watching his daughter play the piano in front of his  friends.</t>
  </si>
  <si>
    <t>JC-EXP-D-03</t>
  </si>
  <si>
    <t>make the most of</t>
  </si>
  <si>
    <t>Many passengers on the subway read books or listen to music to make the most  _______ their time on the way to work.</t>
  </si>
  <si>
    <t>JC-EXP-D-04</t>
  </si>
  <si>
    <t>over time</t>
  </si>
  <si>
    <t>The method for making beer has changed _______ time.</t>
  </si>
  <si>
    <t>JC-EXP-D-05</t>
  </si>
  <si>
    <t>look forward to</t>
  </si>
  <si>
    <t>We are looking forward ______ the summer holiday.</t>
  </si>
  <si>
    <t>JC-EXP-D-06</t>
  </si>
  <si>
    <t>stand a chance of</t>
  </si>
  <si>
    <t>We have been practicing for so long and so hard that our team should stand a  chance  _______ winning the game.</t>
  </si>
  <si>
    <t>JC-EXP-D-07</t>
  </si>
  <si>
    <t>open the door to</t>
  </si>
  <si>
    <t>Research on genes will open the door _______ new medical treatment.</t>
  </si>
  <si>
    <t>JC-EXP-D-08</t>
  </si>
  <si>
    <t>all at once</t>
  </si>
  <si>
    <t>She had two projects at hand, three classes to teach, and a baby to take care of all  _______ once.</t>
  </si>
  <si>
    <t>JC-EXP-D-09</t>
  </si>
  <si>
    <t>depend on</t>
  </si>
  <si>
    <t>Our success depends ______ our hard work and teamwork.</t>
  </si>
  <si>
    <t>JC-EXP-D-10</t>
  </si>
  <si>
    <t>remind sb. of</t>
  </si>
  <si>
    <t>10. The song always reminds me _______ my holiday in Beijing.</t>
  </si>
  <si>
    <t>JC-EXP-E-01</t>
  </si>
  <si>
    <t>straighten up</t>
  </si>
  <si>
    <t>As usual, she helped her mother clear away the dishes and straighten _______ the room.</t>
  </si>
  <si>
    <t>JC-EXP-E-02</t>
  </si>
  <si>
    <t>at a time</t>
  </si>
  <si>
    <t>When you do one thing _______ a time, the quality of your work will improve.</t>
  </si>
  <si>
    <t>JC-EXP-E-03</t>
  </si>
  <si>
    <t>be in danger of</t>
  </si>
  <si>
    <t>He is ______ danger of losing his job because of his carelessness.</t>
  </si>
  <si>
    <t>JC-EXP-E-04</t>
  </si>
  <si>
    <t>pass away</t>
  </si>
  <si>
    <t>My grandmother passed ______ at the age of 90 peacefully.</t>
  </si>
  <si>
    <t>JC-EXP-E-05</t>
  </si>
  <si>
    <t>get by</t>
  </si>
  <si>
    <t>We can get _______ with five computers at the moment, but we will need more  when the new people arrive next month.</t>
  </si>
  <si>
    <t>JC-EXP-E-06</t>
  </si>
  <si>
    <t>turn off</t>
  </si>
  <si>
    <t>You should turn ______ the TV before you go to bed.</t>
  </si>
  <si>
    <t>JC-EXP-E-07</t>
  </si>
  <si>
    <t>be proud of</t>
  </si>
  <si>
    <t>My mother is proud ______ my good grades in the exam.</t>
  </si>
  <si>
    <t>JC-EXP-E-08</t>
  </si>
  <si>
    <t>cut ... off from</t>
  </si>
  <si>
    <t>Once upon a time, a group of people lived in the deep forest and were completely  cut  _______ from the rest of the world.</t>
  </si>
  <si>
    <t>JC-EXP-E-09</t>
  </si>
  <si>
    <t>give up</t>
  </si>
  <si>
    <t>Don’t give ______ learning English, it’s very important.</t>
  </si>
  <si>
    <t>JC-EXP-E-10</t>
  </si>
  <si>
    <t>throw away</t>
  </si>
  <si>
    <t>10. The little boy walked three blocks holding something he wanted to throw _______  until he found a public garbage can.</t>
  </si>
  <si>
    <t>JC-BC-A-01</t>
  </si>
  <si>
    <t>Part II</t>
  </si>
  <si>
    <t>Banked Cloze</t>
  </si>
  <si>
    <t>Yuan Longping and hybrid rice / blank 1</t>
  </si>
  <si>
    <t>Yuan Longping and hybrid rice（Banked Cloze 第1空）</t>
  </si>
  <si>
    <t>中</t>
  </si>
  <si>
    <t>对应上传PPT中的Section A Banked Cloze</t>
  </si>
  <si>
    <t>JC-BC-A-02</t>
  </si>
  <si>
    <t>Yuan Longping and hybrid rice / blank 2</t>
  </si>
  <si>
    <t>Yuan Longping and hybrid rice（Banked Cloze 第2空）</t>
  </si>
  <si>
    <t>JC-BC-A-03</t>
  </si>
  <si>
    <t>Yuan Longping and hybrid rice / blank 3</t>
  </si>
  <si>
    <t>Yuan Longping and hybrid rice（Banked Cloze 第3空）</t>
  </si>
  <si>
    <t>JC-BC-A-04</t>
  </si>
  <si>
    <t>Yuan Longping and hybrid rice / blank 4</t>
  </si>
  <si>
    <t>Yuan Longping and hybrid rice（Banked Cloze 第4空）</t>
  </si>
  <si>
    <t>JC-BC-A-05</t>
  </si>
  <si>
    <t>Yuan Longping and hybrid rice / blank 5</t>
  </si>
  <si>
    <t>Yuan Longping and hybrid rice（Banked Cloze 第5空）</t>
  </si>
  <si>
    <t>JC-BC-A-06</t>
  </si>
  <si>
    <t>Yuan Longping and hybrid rice / blank 6</t>
  </si>
  <si>
    <t>Yuan Longping and hybrid rice（Banked Cloze 第6空）</t>
  </si>
  <si>
    <t>JC-BC-A-07</t>
  </si>
  <si>
    <t>Yuan Longping and hybrid rice / blank 7</t>
  </si>
  <si>
    <t>Yuan Longping and hybrid rice（Banked Cloze 第7空）</t>
  </si>
  <si>
    <t>JC-BC-A-08</t>
  </si>
  <si>
    <t>Yuan Longping and hybrid rice / blank 8</t>
  </si>
  <si>
    <t>Yuan Longping and hybrid rice（Banked Cloze 第8空）</t>
  </si>
  <si>
    <t>JC-BC-A-09</t>
  </si>
  <si>
    <t>Yuan Longping and hybrid rice / blank 9</t>
  </si>
  <si>
    <t>Yuan Longping and hybrid rice（Banked Cloze 第9空）</t>
  </si>
  <si>
    <t>JC-BC-A-10</t>
  </si>
  <si>
    <t>Yuan Longping and hybrid rice / blank 10</t>
  </si>
  <si>
    <t>Yuan Longping and hybrid rice（Banked Cloze 第10空）</t>
  </si>
  <si>
    <t>JC-BC-B-01</t>
  </si>
  <si>
    <t>Parent-teen communication / blank 1</t>
  </si>
  <si>
    <t>Parent-teen communication（Banked Cloze 第1空）</t>
  </si>
  <si>
    <t>JC-BC-B-02</t>
  </si>
  <si>
    <t>Parent-teen communication / blank 2</t>
  </si>
  <si>
    <t>Parent-teen communication（Banked Cloze 第2空）</t>
  </si>
  <si>
    <t>JC-BC-B-03</t>
  </si>
  <si>
    <t>Parent-teen communication / blank 3</t>
  </si>
  <si>
    <t>Parent-teen communication（Banked Cloze 第3空）</t>
  </si>
  <si>
    <t>JC-BC-B-04</t>
  </si>
  <si>
    <t>Parent-teen communication / blank 4</t>
  </si>
  <si>
    <t>Parent-teen communication（Banked Cloze 第4空）</t>
  </si>
  <si>
    <t>JC-BC-B-05</t>
  </si>
  <si>
    <t>Parent-teen communication / blank 5</t>
  </si>
  <si>
    <t>Parent-teen communication（Banked Cloze 第5空）</t>
  </si>
  <si>
    <t>JC-BC-B-06</t>
  </si>
  <si>
    <t>Parent-teen communication / blank 6</t>
  </si>
  <si>
    <t>Parent-teen communication（Banked Cloze 第6空）</t>
  </si>
  <si>
    <t>JC-BC-B-07</t>
  </si>
  <si>
    <t>Parent-teen communication / blank 7</t>
  </si>
  <si>
    <t>Parent-teen communication（Banked Cloze 第7空）</t>
  </si>
  <si>
    <t>JC-BC-B-08</t>
  </si>
  <si>
    <t>Parent-teen communication / blank 8</t>
  </si>
  <si>
    <t>Parent-teen communication（Banked Cloze 第8空）</t>
  </si>
  <si>
    <t>JC-BC-B-09</t>
  </si>
  <si>
    <t>Parent-teen communication / blank 9</t>
  </si>
  <si>
    <t>Parent-teen communication（Banked Cloze 第9空）</t>
  </si>
  <si>
    <t>JC-BC-B-10</t>
  </si>
  <si>
    <t>Parent-teen communication / blank 10</t>
  </si>
  <si>
    <t>Parent-teen communication（Banked Cloze 第10空）</t>
  </si>
  <si>
    <t>JC-BC-C-01</t>
  </si>
  <si>
    <t>Reasons for going to college / blank 1</t>
  </si>
  <si>
    <t>Reasons for going to college（Banked Cloze 第1空）</t>
  </si>
  <si>
    <t>JC-BC-C-02</t>
  </si>
  <si>
    <t>Reasons for going to college / blank 2</t>
  </si>
  <si>
    <t>Reasons for going to college（Banked Cloze 第2空）</t>
  </si>
  <si>
    <t>JC-BC-C-03</t>
  </si>
  <si>
    <t>Reasons for going to college / blank 3</t>
  </si>
  <si>
    <t>Reasons for going to college（Banked Cloze 第3空）</t>
  </si>
  <si>
    <t>JC-BC-C-04</t>
  </si>
  <si>
    <t>Reasons for going to college / blank 4</t>
  </si>
  <si>
    <t>Reasons for going to college（Banked Cloze 第4空）</t>
  </si>
  <si>
    <t>JC-BC-C-05</t>
  </si>
  <si>
    <t>Reasons for going to college / blank 5</t>
  </si>
  <si>
    <t>Reasons for going to college（Banked Cloze 第5空）</t>
  </si>
  <si>
    <t>JC-BC-C-06</t>
  </si>
  <si>
    <t>Reasons for going to college / blank 6</t>
  </si>
  <si>
    <t>Reasons for going to college（Banked Cloze 第6空）</t>
  </si>
  <si>
    <t>JC-BC-C-07</t>
  </si>
  <si>
    <t>Reasons for going to college / blank 7</t>
  </si>
  <si>
    <t>Reasons for going to college（Banked Cloze 第7空）</t>
  </si>
  <si>
    <t>JC-BC-C-08</t>
  </si>
  <si>
    <t>Reasons for going to college / blank 8</t>
  </si>
  <si>
    <t>Reasons for going to college（Banked Cloze 第8空）</t>
  </si>
  <si>
    <t>JC-BC-C-09</t>
  </si>
  <si>
    <t>Reasons for going to college / blank 9</t>
  </si>
  <si>
    <t>Reasons for going to college（Banked Cloze 第9空）</t>
  </si>
  <si>
    <t>JC-BC-C-10</t>
  </si>
  <si>
    <t>Reasons for going to college / blank 10</t>
  </si>
  <si>
    <t>Reasons for going to college（Banked Cloze 第10空）</t>
  </si>
  <si>
    <t>JC-BC-D-01</t>
  </si>
  <si>
    <t>Social media and mental health / blank 1</t>
  </si>
  <si>
    <t>Social media and mental health（Banked Cloze 第1空）</t>
  </si>
  <si>
    <t>JC-BC-D-02</t>
  </si>
  <si>
    <t>Social media and mental health / blank 2</t>
  </si>
  <si>
    <t>Social media and mental health（Banked Cloze 第2空）</t>
  </si>
  <si>
    <t>JC-BC-D-03</t>
  </si>
  <si>
    <t>Social media and mental health / blank 3</t>
  </si>
  <si>
    <t>Social media and mental health（Banked Cloze 第3空）</t>
  </si>
  <si>
    <t>JC-BC-D-04</t>
  </si>
  <si>
    <t>Social media and mental health / blank 4</t>
  </si>
  <si>
    <t>Social media and mental health（Banked Cloze 第4空）</t>
  </si>
  <si>
    <t>JC-BC-D-05</t>
  </si>
  <si>
    <t>Social media and mental health / blank 5</t>
  </si>
  <si>
    <t>Social media and mental health（Banked Cloze 第5空）</t>
  </si>
  <si>
    <t>JC-BC-D-06</t>
  </si>
  <si>
    <t>Social media and mental health / blank 6</t>
  </si>
  <si>
    <t>Social media and mental health（Banked Cloze 第6空）</t>
  </si>
  <si>
    <t>JC-BC-D-07</t>
  </si>
  <si>
    <t>Social media and mental health / blank 7</t>
  </si>
  <si>
    <t>Social media and mental health（Banked Cloze 第7空）</t>
  </si>
  <si>
    <t>JC-BC-D-08</t>
  </si>
  <si>
    <t>Social media and mental health / blank 8</t>
  </si>
  <si>
    <t>Social media and mental health（Banked Cloze 第8空）</t>
  </si>
  <si>
    <t>JC-BC-D-09</t>
  </si>
  <si>
    <t>Social media and mental health / blank 9</t>
  </si>
  <si>
    <t>Social media and mental health（Banked Cloze 第9空）</t>
  </si>
  <si>
    <t>JC-BC-D-10</t>
  </si>
  <si>
    <t>Social media and mental health / blank 10</t>
  </si>
  <si>
    <t>Social media and mental health（Banked Cloze 第10空）</t>
  </si>
  <si>
    <t>JC-BC-E-01</t>
  </si>
  <si>
    <t>Cricket and sports culture / blank 1</t>
  </si>
  <si>
    <t>Cricket and sports culture（Banked Cloze 第1空）</t>
  </si>
  <si>
    <t>JC-BC-E-02</t>
  </si>
  <si>
    <t>Cricket and sports culture / blank 2</t>
  </si>
  <si>
    <t>Cricket and sports culture（Banked Cloze 第2空）</t>
  </si>
  <si>
    <t>JC-BC-E-03</t>
  </si>
  <si>
    <t>Cricket and sports culture / blank 3</t>
  </si>
  <si>
    <t>Cricket and sports culture（Banked Cloze 第3空）</t>
  </si>
  <si>
    <t>JC-BC-E-04</t>
  </si>
  <si>
    <t>Cricket and sports culture / blank 4</t>
  </si>
  <si>
    <t>Cricket and sports culture（Banked Cloze 第4空）</t>
  </si>
  <si>
    <t>JC-BC-E-05</t>
  </si>
  <si>
    <t>Cricket and sports culture / blank 5</t>
  </si>
  <si>
    <t>Cricket and sports culture（Banked Cloze 第5空）</t>
  </si>
  <si>
    <t>JC-BC-E-06</t>
  </si>
  <si>
    <t>Cricket and sports culture / blank 6</t>
  </si>
  <si>
    <t>Cricket and sports culture（Banked Cloze 第6空）</t>
  </si>
  <si>
    <t>JC-BC-E-07</t>
  </si>
  <si>
    <t>Cricket and sports culture / blank 7</t>
  </si>
  <si>
    <t>Cricket and sports culture（Banked Cloze 第7空）</t>
  </si>
  <si>
    <t>JC-BC-E-08</t>
  </si>
  <si>
    <t>Cricket and sports culture / blank 8</t>
  </si>
  <si>
    <t>Cricket and sports culture（Banked Cloze 第8空）</t>
  </si>
  <si>
    <t>JC-BC-E-09</t>
  </si>
  <si>
    <t>Cricket and sports culture / blank 9</t>
  </si>
  <si>
    <t>Cricket and sports culture（Banked Cloze 第9空）</t>
  </si>
  <si>
    <t>JC-BC-E-10</t>
  </si>
  <si>
    <t>Cricket and sports culture / blank 10</t>
  </si>
  <si>
    <t>Cricket and sports culture（Banked Cloze 第10空）</t>
  </si>
  <si>
    <t>JC-TR-A-EC-01</t>
  </si>
  <si>
    <t>Part IV</t>
  </si>
  <si>
    <t>E-C Translation</t>
  </si>
  <si>
    <t>课内翻译范围（Text A）</t>
  </si>
  <si>
    <t>课内英译汉句子</t>
  </si>
  <si>
    <t>You may be an early bird while your roommate is a night owl. And still, you and your roommate may become best friends.</t>
  </si>
  <si>
    <t>题库规范：来自本学期所上Text A文章</t>
  </si>
  <si>
    <t>当前五套卷均为课内句子翻译</t>
  </si>
  <si>
    <t>JC-TR-A-EC-02</t>
  </si>
  <si>
    <t>College offers many things to do and to learn, and each of them offers a different way to see the world.</t>
  </si>
  <si>
    <t>JC-TR-A-EC-03</t>
  </si>
  <si>
    <t>You will have the freedom to explore and learn about new subjects.</t>
  </si>
  <si>
    <t>JC-TR-A-EC-04</t>
  </si>
  <si>
    <t>We take great pleasure in opening the door to this great step in your journey.</t>
  </si>
  <si>
    <t>JC-TR-A-CE-01</t>
  </si>
  <si>
    <t>C-E Translation</t>
  </si>
  <si>
    <t>课内翻译范围（Text C / Chinese culture topics）</t>
  </si>
  <si>
    <t>课内汉译英句子</t>
  </si>
  <si>
    <t>孔子（Confucius）是中国历史上著名的思想家、教育家，是儒家学派（Confucianism）的创始人。</t>
  </si>
  <si>
    <t>题库规范：来自本学期所上Text C部分</t>
  </si>
  <si>
    <t>中文文化类表达，需保持与课内范围一致</t>
  </si>
  <si>
    <t>JC-TR-A-CE-02</t>
  </si>
  <si>
    <t>太极拳动作缓慢而柔和，适合任何年龄、性别、体型(build) 的人。</t>
  </si>
  <si>
    <t>JC-TR-A-CE-03</t>
  </si>
  <si>
    <t>数字化教育使人们得以通过互联网进入虚拟教室，并随时随地学习。</t>
  </si>
  <si>
    <t>JC-TR-B-EC-01</t>
  </si>
  <si>
    <t>Your achievement is the triumph of years of hard work, both of your own and of your parents and teachers.</t>
  </si>
  <si>
    <t>JC-TR-B-EC-02</t>
  </si>
  <si>
    <t>If I could give you only one piece of advice about selecting courses, it would be this: Challenge yourself!</t>
  </si>
  <si>
    <t>JC-TR-B-EC-03</t>
  </si>
  <si>
    <t>But know this: The future is built on the strong foundation of the past.</t>
  </si>
  <si>
    <t>JC-TR-B-EC-04</t>
  </si>
  <si>
    <t>What will you do to build a strong and prosperous future for the generations that will come after you?</t>
  </si>
  <si>
    <t>JC-TR-B-CE-01</t>
  </si>
  <si>
    <t>《论语》（The Analects）收录了孔子（Confucius）的思想。</t>
  </si>
  <si>
    <t>JC-TR-B-CE-02</t>
  </si>
  <si>
    <t>郑和是中国历史上最著名的海上探险家。</t>
  </si>
  <si>
    <t>JC-TR-B-CE-03</t>
  </si>
  <si>
    <t>孝道（filial piety）是中国古代社会的基本道德规范（code of ethics）之一。</t>
  </si>
  <si>
    <t>JC-TR-C-EC-01</t>
  </si>
  <si>
    <t>Here at the university, we pledge to make your educational experience as rewarding as possible.</t>
  </si>
  <si>
    <t>JC-TR-C-EC-02</t>
  </si>
  <si>
    <t>You will miss your old routines and your parents’ reminders to work hard and attain your best.</t>
  </si>
  <si>
    <t>JC-TR-C-EC-03</t>
  </si>
  <si>
    <t>I promise you that the happy experiences will outweigh the unpleasant ones.</t>
  </si>
  <si>
    <t>JC-TR-C-EC-04</t>
  </si>
  <si>
    <t>You are the inheritors of the hard work of your families and the hard work of many countless others who came before you.</t>
  </si>
  <si>
    <t>JC-TR-C-CE-01</t>
  </si>
  <si>
    <t>孔子（Confucius）的学说越来越得到整个国际社会的关注。</t>
  </si>
  <si>
    <t>JC-TR-C-CE-02</t>
  </si>
  <si>
    <t>太极拳既可用于防身，又能强身健体。</t>
  </si>
  <si>
    <t>JC-TR-C-CE-03</t>
  </si>
  <si>
    <t>郑和下西洋是世界航海（navigation）史上的壮举。</t>
  </si>
  <si>
    <t>JC-TR-D-EC-01</t>
  </si>
  <si>
    <t>You may feel overwhelmed by the wealth of courses available to you.</t>
  </si>
  <si>
    <t>JC-TR-D-EC-02</t>
  </si>
  <si>
    <t>Don’t assume that you know in advance what fields will interest you the most.</t>
  </si>
  <si>
    <t>JC-TR-D-EC-03</t>
  </si>
  <si>
    <t>They built and transmitted the knowledge you will need to succeed. Now it is your turn.</t>
  </si>
  <si>
    <t>JC-TR-D-EC-04</t>
  </si>
  <si>
    <t>So, with a glow in your eyes and a song in your heart, step forward to meet these  		new experiences!</t>
  </si>
  <si>
    <t>JC-TR-D-CE-01</t>
  </si>
  <si>
    <t>孝道（filial piety）是中国社会千百年来维系家庭关系的道德准则。</t>
  </si>
  <si>
    <t>JC-TR-D-CE-02</t>
  </si>
  <si>
    <t>郑和与他的船队访问了三十多个国家和地区。</t>
  </si>
  <si>
    <t>JC-TR-D-CE-03</t>
  </si>
  <si>
    <t>数字化教育拓展了学习者学习的时间和空间。</t>
  </si>
  <si>
    <t>JC-TR-E-EC-01</t>
  </si>
  <si>
    <t>You will not be able to experience them all, but sample them widely!</t>
  </si>
  <si>
    <t>JC-TR-E-EC-02</t>
  </si>
  <si>
    <t>And I promise that virtually all of them will provide you with valuable lessons which will enrich your life.</t>
  </si>
  <si>
    <t>JC-TR-E-EC-03</t>
  </si>
  <si>
    <t>We have confidence that your journey toward self-discovery and your progress toward finding your own passion will yield more than personal advancement.</t>
  </si>
  <si>
    <t>JC-TR-E-EC-04</t>
  </si>
  <si>
    <t>Education is simply the soul of a society as it passes from one generation to another.</t>
  </si>
  <si>
    <t>JC-TR-E-CE-01</t>
  </si>
  <si>
    <t>一般来说，孝道（filial piety）主要包括尊敬、关爱及赡养老人。</t>
  </si>
  <si>
    <t>JC-TR-E-CE-02</t>
  </si>
  <si>
    <t>中国将坚持教育优先发展，建设学习型社会、学习型大国。</t>
  </si>
  <si>
    <t>JC-TR-E-CE-03</t>
  </si>
  <si>
    <t>太极拳深受中国人民和世界人民的喜爱。</t>
  </si>
  <si>
    <t>四级内容题库主表（Part III / Part V）</t>
  </si>
  <si>
    <t>说明：本表按“每道阅读题 + 每篇作文题”逐项编号，共 55 条；Part III 为课外阅读，Part V 为课外四级作文题。</t>
  </si>
  <si>
    <t>CET-RC-A-01</t>
  </si>
  <si>
    <t>四级内容</t>
  </si>
  <si>
    <t>Part III</t>
  </si>
  <si>
    <t>Reading Comprehension</t>
  </si>
  <si>
    <t>课外四级阅读材料</t>
  </si>
  <si>
    <t>Chicago Art Institute museum guide</t>
  </si>
  <si>
    <t>In the Modern Wing visitors can see works of ____.</t>
  </si>
  <si>
    <t>题库规范：课外内容，四级难度，尽量偏基础</t>
  </si>
  <si>
    <t>Passage 1</t>
  </si>
  <si>
    <t>CET-RC-A-02</t>
  </si>
  <si>
    <t>The Art Institute is open _______.</t>
  </si>
  <si>
    <t>CET-RC-A-03</t>
  </si>
  <si>
    <t>Where can you go if you want to see European homes in the 17th?</t>
  </si>
  <si>
    <t>CET-RC-A-04</t>
  </si>
  <si>
    <t>What can children do at Curious Corner?</t>
  </si>
  <si>
    <t>CET-RC-A-05</t>
  </si>
  <si>
    <t>You can take the No. _______ bus to the Art Institute.</t>
  </si>
  <si>
    <t>CET-RC-A-06</t>
  </si>
  <si>
    <t>Facial expressions and cross-cultural smiles</t>
  </si>
  <si>
    <t>What does the smile usually mean in the U.S.?</t>
  </si>
  <si>
    <t>Passage 2</t>
  </si>
  <si>
    <t>CET-RC-A-07</t>
  </si>
  <si>
    <t>Many people in Russia consider smiling at strangers in public to be ______.</t>
  </si>
  <si>
    <t>CET-RC-A-08</t>
  </si>
  <si>
    <t>The author mentions the smile of the Vietnamese to prove that smile can ___.</t>
  </si>
  <si>
    <t>CET-RC-A-09</t>
  </si>
  <si>
    <t>What should we do before attempting to “read” people?</t>
  </si>
  <si>
    <t>CET-RC-A-10</t>
  </si>
  <si>
    <t>What would be the best title for the text?</t>
  </si>
  <si>
    <t>CET-RC-B-01</t>
  </si>
  <si>
    <t>Western dining customs and tableware use</t>
  </si>
  <si>
    <t>When do Europeans usually drink their coffee?</t>
  </si>
  <si>
    <t>CET-RC-B-02</t>
  </si>
  <si>
    <t>The right way to use the forks, knives and spoons is to use ______.</t>
  </si>
  <si>
    <t>CET-RC-B-03</t>
  </si>
  <si>
    <t>The butter spreader is _______.</t>
  </si>
  <si>
    <t>CET-RC-B-04</t>
  </si>
  <si>
    <t>The spoon on the outside on the right is for ______.</t>
  </si>
  <si>
    <t>CET-RC-B-05</t>
  </si>
  <si>
    <t>The best title for this passage is _______.</t>
  </si>
  <si>
    <t>CET-RC-B-06</t>
  </si>
  <si>
    <t>French vs American eating habits and obesity</t>
  </si>
  <si>
    <t>In what way are the French different from Americans according to Dr. Joseph Mercola?</t>
  </si>
  <si>
    <t>CET-RC-B-07</t>
  </si>
  <si>
    <t>This text is mainly the relationship between ______.</t>
  </si>
  <si>
    <t>CET-RC-B-08</t>
  </si>
  <si>
    <t>According to the passage, the obesity rate among French children has reached _______.</t>
  </si>
  <si>
    <t>CET-RC-B-09</t>
  </si>
  <si>
    <t>The text is mainly developed ________.</t>
  </si>
  <si>
    <t>CET-RC-B-10</t>
  </si>
  <si>
    <t>Where does this text probably come from?</t>
  </si>
  <si>
    <t>CET-RC-C-01</t>
  </si>
  <si>
    <t>Global warming and eelpout fish population</t>
  </si>
  <si>
    <t>It is implied in Paragraph 2 that biologists’ research in labs is _______.</t>
  </si>
  <si>
    <t>CET-RC-C-02</t>
  </si>
  <si>
    <t>When it is hot enough, eelpouts will either die or ________.</t>
  </si>
  <si>
    <t>CET-RC-C-03</t>
  </si>
  <si>
    <t>The eelpout population began to decrease ________ years ago.</t>
  </si>
  <si>
    <t>CET-RC-C-04</t>
  </si>
  <si>
    <t>Which of the following is TRUE according to the passage?</t>
  </si>
  <si>
    <t>CET-RC-C-05</t>
  </si>
  <si>
    <t>The Chinese meaning of the word “temperature” in the passage is ________.</t>
  </si>
  <si>
    <t>CET-RC-C-06</t>
  </si>
  <si>
    <t>Job variety and worker productivity</t>
  </si>
  <si>
    <t>According to the author, varied jobs _______.</t>
  </si>
  <si>
    <t>CET-RC-C-07</t>
  </si>
  <si>
    <t>According to the passage, other experts believe that ______.</t>
  </si>
  <si>
    <t>CET-RC-C-08</t>
  </si>
  <si>
    <t>According to the author, _______.</t>
  </si>
  <si>
    <t>CET-RC-C-09</t>
  </si>
  <si>
    <t>In the passage, the author seems to suggest that ______.</t>
  </si>
  <si>
    <t>CET-RC-C-10</t>
  </si>
  <si>
    <t>The passage is mainly about _______.</t>
  </si>
  <si>
    <t>CET-RC-D-01</t>
  </si>
  <si>
    <t>Reading skills: previewing, skimming, clustering</t>
  </si>
  <si>
    <t>What did the writer realize later regarding his slowed-down eyeballs?</t>
  </si>
  <si>
    <t>CET-RC-D-02</t>
  </si>
  <si>
    <t>Why is previewing especially useful for a heavy reading?</t>
  </si>
  <si>
    <t>CET-RC-D-03</t>
  </si>
  <si>
    <t>What is the use of the technique of skimming when you are doing light reading?</t>
  </si>
  <si>
    <t>CET-RC-D-04</t>
  </si>
  <si>
    <t>What’s the most important advantage when you do clustering?</t>
  </si>
  <si>
    <t>CET-RC-D-05</t>
  </si>
  <si>
    <t>Which statement best expresses the main idea of this passage?</t>
  </si>
  <si>
    <t>CET-RC-D-06</t>
  </si>
  <si>
    <t>The value of the humanities</t>
  </si>
  <si>
    <t>Why has the question of studying the humanities taken on new urgency?</t>
  </si>
  <si>
    <t>CET-RC-D-07</t>
  </si>
  <si>
    <t>According to the author, what’s the assumption of the general public?</t>
  </si>
  <si>
    <t>CET-RC-D-08</t>
  </si>
  <si>
    <t>What does Paragraph 3 mainly talk about?</t>
  </si>
  <si>
    <t>CET-RC-D-09</t>
  </si>
  <si>
    <t>What is the author’s point in Paragraph 4?</t>
  </si>
  <si>
    <t>CET-RC-D-10</t>
  </si>
  <si>
    <t>According to the author, “rethinking” means ________.</t>
  </si>
  <si>
    <t>CET-RC-E-01</t>
  </si>
  <si>
    <t>A child saved his mother by calling 911</t>
  </si>
  <si>
    <t>According to the text, Dane ________.</t>
  </si>
  <si>
    <t>CET-RC-E-02</t>
  </si>
  <si>
    <t>The underlined word “block” can best be replaced by ________.</t>
  </si>
  <si>
    <t>CET-RC-E-03</t>
  </si>
  <si>
    <t>According to Paragraph 3, Dane can be best described as ________.</t>
  </si>
  <si>
    <t>CET-RC-E-04</t>
  </si>
  <si>
    <t>The Taber Police Service gave Dane a certificate in recognition of his “_______”.</t>
  </si>
  <si>
    <t>CET-RC-E-05</t>
  </si>
  <si>
    <t>Which of the following statements will the author agree with?</t>
  </si>
  <si>
    <t>CET-RC-E-06</t>
  </si>
  <si>
    <t>Wild time for children and outdoor play</t>
  </si>
  <si>
    <t>What is the best title of the text?</t>
  </si>
  <si>
    <t>CET-RC-E-07</t>
  </si>
  <si>
    <t>Children are encouraged to do the following activities except ________.</t>
  </si>
  <si>
    <t>CET-RC-E-08</t>
  </si>
  <si>
    <t>According to Andy Simpson, we know that ________.</t>
  </si>
  <si>
    <t>CET-RC-E-09</t>
  </si>
  <si>
    <t>David Bond from Project Wild Thing suggests that _________.</t>
  </si>
  <si>
    <t>CET-RC-E-10</t>
  </si>
  <si>
    <t>The last paragraph suggests that ________.</t>
  </si>
  <si>
    <t>CET-WR-A-01</t>
  </si>
  <si>
    <t>Part V</t>
  </si>
  <si>
    <t>Writing</t>
  </si>
  <si>
    <t>课外四级作文命题</t>
  </si>
  <si>
    <t>you should write an essay on the topic: Fast Food and Chinese Cuisine. You shoul</t>
  </si>
  <si>
    <t>很多人越来越喜欢西式快餐，如麦当劳(McDonald’s)、肯德基(KFC)。 / 你更喜欢西式快餐还是传统中餐？ / 说明你的看法。</t>
  </si>
  <si>
    <t>题库规范：课外内容，四级作文要求</t>
  </si>
  <si>
    <t>作文题干+中文提纲</t>
  </si>
  <si>
    <t>CET-WR-B-01</t>
  </si>
  <si>
    <t>you should write an essay on the topic: Is EQ More Important than IQ? You should</t>
  </si>
  <si>
    <t>情商（emotional quotient, 简称EQ）影响人生与事业的发展； / 情商是否比智商（intelligence quotient, 简称IQ）更重要； / 阐述你的观点。</t>
  </si>
  <si>
    <t>CET-WR-C-01</t>
  </si>
  <si>
    <t>you should write an essay on the topic: On Idol Worshipping. You should write at</t>
  </si>
  <si>
    <t>部分年轻人存在盲目追星的现象； / 造成这种现象的原因； / 谈谈你的观点。</t>
  </si>
  <si>
    <t>CET-WR-D-01</t>
  </si>
  <si>
    <t>you are allowed 30 minutes to write an essay on the topic: Online Games. You sho</t>
  </si>
  <si>
    <t>1. 现在有些大学生沉迷于网络游戏，家长和学校对此忧心忡忡 / 2. 但有人认为网络游戏并非一无是处 / 3. 你的看法</t>
  </si>
  <si>
    <t>CET-WR-E-01</t>
  </si>
  <si>
    <t>you are allowed 30 minutes to write an essay on the topic: On a Harmonious Dormi</t>
  </si>
  <si>
    <t>1. 宿舍生活是大学生活的一部分，但是有时会出现不和谐的情况 / 2. 创建和谐的宿舍生活的重要性 / 3. 怎样创建和谐的宿舍生活</t>
  </si>
  <si>
    <t>A–E卷蓝图总览（本届五套现有卷面）</t>
  </si>
  <si>
    <t>蓝图用途：用于核对五套卷的题型结构、题目编号范围、教材来源范围与四级内容配置；后续可直接接入重复率统计表。</t>
  </si>
  <si>
    <t>Part I 题号范围</t>
  </si>
  <si>
    <t>Part III 阅读主题</t>
  </si>
  <si>
    <t>Part IV 翻译范围</t>
  </si>
  <si>
    <t>Part V 写作题目</t>
  </si>
  <si>
    <t>卷面分值</t>
  </si>
  <si>
    <t>任务规范时长</t>
  </si>
  <si>
    <t>原卷显示时长</t>
  </si>
  <si>
    <t>JC-EXP-A-01 ~ JC-EXP-A-10</t>
  </si>
  <si>
    <t>Chicago Art Institute museum guide / Facial expressions and cross-cultural smiles</t>
  </si>
  <si>
    <t>JC-TR-A-EC-01~04 + JC-TR-A-CE-01~03</t>
  </si>
  <si>
    <t>很多人越来越喜欢西式快餐，如麦当劳(McDonald’s)、肯德基(KFC)。 / 你更喜欢西式快餐还是传统中餐？ / ...</t>
  </si>
  <si>
    <t>原卷显示120分钟，提交时需按任务规范统一改为90分钟</t>
  </si>
  <si>
    <t>JC-EXP-B-01 ~ JC-EXP-B-10</t>
  </si>
  <si>
    <t>French vs American eating habits and obesity / Western dining customs and tableware use</t>
  </si>
  <si>
    <t>JC-TR-B-EC-01~04 + JC-TR-B-CE-01~03</t>
  </si>
  <si>
    <t>情商（emotional quotient, 简称EQ）影响人生与事业的发展； / 情商是否比智商（intelligen...</t>
  </si>
  <si>
    <t>JC-EXP-C-01 ~ JC-EXP-C-10</t>
  </si>
  <si>
    <t>Global warming and eelpout fish population / Job variety and worker productivity</t>
  </si>
  <si>
    <t>JC-TR-C-EC-01~04 + JC-TR-C-CE-01~03</t>
  </si>
  <si>
    <t>部分年轻人存在盲目追星的现象； / 造成这种现象的原因； / 谈谈你的观点。...</t>
  </si>
  <si>
    <t>JC-EXP-D-01 ~ JC-EXP-D-10</t>
  </si>
  <si>
    <t>Reading skills: previewing, skimming, clustering / The value of the humanities</t>
  </si>
  <si>
    <t>JC-TR-D-EC-01~04 + JC-TR-D-CE-01~03</t>
  </si>
  <si>
    <t>1. 现在有些大学生沉迷于网络游戏，家长和学校对此忧心忡忡 / 2. 但有人认为网络游戏并非一无是处 / 3. 你的看法...</t>
  </si>
  <si>
    <t>JC-EXP-E-01 ~ JC-EXP-E-10</t>
  </si>
  <si>
    <t>A child saved his mother by calling 911 / Wild time for children and outdoor play</t>
  </si>
  <si>
    <t>JC-TR-E-EC-01~04 + JC-TR-E-CE-01~03</t>
  </si>
  <si>
    <t>1. 宿舍生活是大学生活的一部分，但是有时会出现不和谐的情况 / 2. 创建和谐的宿舍生活的重要性 / 3. 怎样创建和...</t>
  </si>
  <si>
    <t>A卷蓝图模板（本届现有题目配置）</t>
  </si>
  <si>
    <t>卷面核对</t>
  </si>
  <si>
    <t>目标总分</t>
  </si>
  <si>
    <t>当前明细总分</t>
  </si>
  <si>
    <t>Part I小计</t>
  </si>
  <si>
    <t>Part II小计</t>
  </si>
  <si>
    <t>Part III小计</t>
  </si>
  <si>
    <t>序号</t>
  </si>
  <si>
    <t>试卷来源</t>
  </si>
  <si>
    <t>题号</t>
  </si>
  <si>
    <r>
      <t>题干</t>
    </r>
    <r>
      <rPr>
        <sz val="11"/>
        <rFont val="Carlito"/>
        <charset val="134"/>
      </rPr>
      <t>/</t>
    </r>
    <r>
      <rPr>
        <sz val="11"/>
        <rFont val="宋体"/>
        <charset val="134"/>
      </rPr>
      <t>内容摘要</t>
    </r>
  </si>
  <si>
    <t>C卷蓝图模板（本届现有题目配置）</t>
  </si>
  <si>
    <t>D卷蓝图模板（本届现有题目配置）</t>
  </si>
  <si>
    <t>提示：本卷题目来源于当前已上传原卷；蓝图仅用于题库与重复率核验。</t>
  </si>
  <si>
    <t>E卷蓝图模板（本届现有题目配置）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</si>
</sst>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rlito"/>
      <charset val="134"/>
    </font>
    <font>
      <b/>
      <sz val="14"/>
      <color rgb="FFFFFFFF"/>
      <name val="Carlito"/>
      <charset val="134"/>
    </font>
    <font>
      <b/>
      <sz val="11"/>
      <color rgb="FFFFFFFF"/>
      <name val="Carlito"/>
      <charset val="134"/>
    </font>
    <font>
      <b/>
      <sz val="11"/>
      <name val="Carlito"/>
      <charset val="134"/>
    </font>
    <font>
      <b/>
      <sz val="11"/>
      <color rgb="FFFFFFFF"/>
      <name val="宋体"/>
      <charset val="134"/>
    </font>
    <font>
      <sz val="11"/>
      <name val="宋体"/>
      <charset val="134"/>
    </font>
    <font>
      <b/>
      <sz val="11"/>
      <color rgb="FF000000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/>
      <right/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7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12" applyNumberFormat="0" applyAlignment="0" applyProtection="0">
      <alignment vertical="center"/>
    </xf>
    <xf numFmtId="0" fontId="17" fillId="9" borderId="13" applyNumberFormat="0" applyAlignment="0" applyProtection="0">
      <alignment vertical="center"/>
    </xf>
    <xf numFmtId="0" fontId="18" fillId="9" borderId="12" applyNumberFormat="0" applyAlignment="0" applyProtection="0">
      <alignment vertical="center"/>
    </xf>
    <xf numFmtId="0" fontId="19" fillId="10" borderId="14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0" fillId="0" borderId="0"/>
  </cellStyleXfs>
  <cellXfs count="31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2" fillId="3" borderId="0" xfId="49" applyNumberFormat="1" applyFont="1" applyFill="1" applyBorder="1" applyAlignment="1">
      <alignment horizontal="center"/>
    </xf>
    <xf numFmtId="0" fontId="0" fillId="4" borderId="0" xfId="49" applyNumberFormat="1" applyFont="1" applyFill="1" applyBorder="1" applyAlignment="1">
      <alignment wrapText="1"/>
    </xf>
    <xf numFmtId="0" fontId="3" fillId="5" borderId="1" xfId="49" applyNumberFormat="1" applyFont="1" applyFill="1" applyBorder="1" applyAlignment="1">
      <alignment wrapText="1"/>
    </xf>
    <xf numFmtId="0" fontId="0" fillId="0" borderId="2" xfId="49" applyNumberFormat="1" applyFont="1" applyFill="1" applyBorder="1" applyAlignment="1">
      <alignment wrapText="1"/>
    </xf>
    <xf numFmtId="0" fontId="3" fillId="5" borderId="3" xfId="49" applyNumberFormat="1" applyFont="1" applyFill="1" applyBorder="1" applyAlignment="1">
      <alignment wrapText="1"/>
    </xf>
    <xf numFmtId="0" fontId="0" fillId="0" borderId="4" xfId="49" applyNumberFormat="1" applyFont="1" applyFill="1" applyBorder="1" applyAlignment="1">
      <alignment wrapText="1"/>
    </xf>
    <xf numFmtId="0" fontId="2" fillId="6" borderId="1" xfId="49" applyNumberFormat="1" applyFont="1" applyFill="1" applyBorder="1" applyAlignment="1">
      <alignment horizontal="center" vertical="center" wrapText="1"/>
    </xf>
    <xf numFmtId="0" fontId="2" fillId="6" borderId="5" xfId="49" applyNumberFormat="1" applyFont="1" applyFill="1" applyBorder="1" applyAlignment="1">
      <alignment horizontal="center" vertical="center" wrapText="1"/>
    </xf>
    <xf numFmtId="0" fontId="4" fillId="6" borderId="5" xfId="49" applyNumberFormat="1" applyFont="1" applyFill="1" applyBorder="1" applyAlignment="1">
      <alignment horizontal="center" vertical="center" wrapText="1"/>
    </xf>
    <xf numFmtId="0" fontId="5" fillId="0" borderId="0" xfId="49" applyFont="1"/>
    <xf numFmtId="0" fontId="2" fillId="6" borderId="2" xfId="49" applyNumberFormat="1" applyFont="1" applyFill="1" applyBorder="1" applyAlignment="1">
      <alignment horizontal="center" vertical="center" wrapText="1"/>
    </xf>
    <xf numFmtId="0" fontId="0" fillId="0" borderId="3" xfId="49" applyNumberFormat="1" applyFont="1" applyFill="1" applyBorder="1"/>
    <xf numFmtId="0" fontId="0" fillId="0" borderId="0" xfId="49" applyNumberFormat="1" applyFont="1" applyFill="1" applyBorder="1"/>
    <xf numFmtId="0" fontId="0" fillId="0" borderId="4" xfId="49" applyNumberFormat="1" applyFont="1" applyFill="1" applyBorder="1"/>
    <xf numFmtId="0" fontId="0" fillId="4" borderId="3" xfId="49" applyNumberFormat="1" applyFont="1" applyFill="1" applyBorder="1"/>
    <xf numFmtId="0" fontId="0" fillId="4" borderId="0" xfId="49" applyNumberFormat="1" applyFont="1" applyFill="1" applyBorder="1"/>
    <xf numFmtId="0" fontId="0" fillId="4" borderId="4" xfId="49" applyNumberFormat="1" applyFont="1" applyFill="1" applyBorder="1"/>
    <xf numFmtId="0" fontId="3" fillId="5" borderId="6" xfId="49" applyNumberFormat="1" applyFont="1" applyFill="1" applyBorder="1" applyAlignment="1">
      <alignment wrapText="1"/>
    </xf>
    <xf numFmtId="0" fontId="0" fillId="0" borderId="7" xfId="49" applyNumberFormat="1" applyFont="1" applyFill="1" applyBorder="1" applyAlignment="1">
      <alignment wrapText="1"/>
    </xf>
    <xf numFmtId="0" fontId="0" fillId="0" borderId="6" xfId="49" applyNumberFormat="1" applyFont="1" applyFill="1" applyBorder="1"/>
    <xf numFmtId="0" fontId="0" fillId="0" borderId="8" xfId="49" applyNumberFormat="1" applyFont="1" applyFill="1" applyBorder="1"/>
    <xf numFmtId="0" fontId="0" fillId="0" borderId="7" xfId="49" applyNumberFormat="1" applyFont="1" applyFill="1" applyBorder="1"/>
    <xf numFmtId="0" fontId="5" fillId="4" borderId="0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wrapText="1"/>
    </xf>
    <xf numFmtId="0" fontId="6" fillId="5" borderId="0" xfId="49" applyNumberFormat="1" applyFont="1" applyFill="1" applyBorder="1" applyAlignment="1">
      <alignment horizontal="center" vertical="center" wrapText="1"/>
    </xf>
    <xf numFmtId="0" fontId="0" fillId="0" borderId="1" xfId="49" applyNumberFormat="1" applyFont="1" applyFill="1" applyBorder="1" applyAlignment="1">
      <alignment wrapText="1"/>
    </xf>
    <xf numFmtId="0" fontId="0" fillId="0" borderId="3" xfId="49" applyNumberFormat="1" applyFont="1" applyFill="1" applyBorder="1" applyAlignment="1">
      <alignment wrapText="1"/>
    </xf>
    <xf numFmtId="0" fontId="5" fillId="0" borderId="3" xfId="49" applyNumberFormat="1" applyFont="1" applyFill="1" applyBorder="1" applyAlignment="1">
      <alignment wrapText="1"/>
    </xf>
    <xf numFmtId="0" fontId="0" fillId="0" borderId="6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workbookViewId="0">
      <selection activeCell="B15" sqref="B15"/>
    </sheetView>
  </sheetViews>
  <sheetFormatPr defaultColWidth="9" defaultRowHeight="14.1"/>
  <cols>
    <col min="1" max="1" width="18" customWidth="1"/>
    <col min="2" max="2" width="90" customWidth="1"/>
  </cols>
  <sheetData>
    <row r="1" ht="67.2" customHeight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ht="14.15" spans="1:12">
      <c r="A4" s="26" t="s">
        <v>2</v>
      </c>
      <c r="B4" s="26" t="s">
        <v>3</v>
      </c>
      <c r="C4" s="25"/>
      <c r="D4" s="25"/>
      <c r="E4" s="25"/>
      <c r="F4" s="25"/>
      <c r="G4" s="25"/>
      <c r="H4" s="25"/>
      <c r="I4" s="25"/>
      <c r="J4" s="25"/>
      <c r="K4" s="25"/>
      <c r="L4" s="25"/>
    </row>
    <row r="5" ht="14.15" spans="1:12">
      <c r="A5" s="27" t="s">
        <v>2</v>
      </c>
      <c r="B5" s="5" t="s">
        <v>4</v>
      </c>
      <c r="C5" s="25"/>
      <c r="D5" s="25"/>
      <c r="E5" s="25"/>
      <c r="F5" s="25"/>
      <c r="G5" s="25"/>
      <c r="H5" s="25"/>
      <c r="I5" s="25"/>
      <c r="J5" s="25"/>
      <c r="K5" s="25"/>
      <c r="L5" s="25"/>
    </row>
    <row r="6" ht="14.15" spans="1:12">
      <c r="A6" s="28" t="s">
        <v>5</v>
      </c>
      <c r="B6" s="7" t="s">
        <v>6</v>
      </c>
      <c r="C6" s="25"/>
      <c r="D6" s="25"/>
      <c r="E6" s="25"/>
      <c r="F6" s="25"/>
      <c r="G6" s="25"/>
      <c r="H6" s="25"/>
      <c r="I6" s="25"/>
      <c r="J6" s="25"/>
      <c r="K6" s="25"/>
      <c r="L6" s="25"/>
    </row>
    <row r="7" ht="14.15" spans="1:12">
      <c r="A7" s="28" t="s">
        <v>7</v>
      </c>
      <c r="B7" s="7" t="s">
        <v>8</v>
      </c>
      <c r="C7" s="25"/>
      <c r="D7" s="25"/>
      <c r="E7" s="25"/>
      <c r="F7" s="25"/>
      <c r="G7" s="25"/>
      <c r="H7" s="25"/>
      <c r="I7" s="25"/>
      <c r="J7" s="25"/>
      <c r="K7" s="25"/>
      <c r="L7" s="25"/>
    </row>
    <row r="8" ht="14.15" spans="1:12">
      <c r="A8" s="28" t="s">
        <v>9</v>
      </c>
      <c r="B8" s="7" t="s">
        <v>10</v>
      </c>
      <c r="C8" s="25"/>
      <c r="D8" s="25"/>
      <c r="E8" s="25"/>
      <c r="F8" s="25"/>
      <c r="G8" s="25"/>
      <c r="H8" s="25"/>
      <c r="I8" s="25"/>
      <c r="J8" s="25"/>
      <c r="K8" s="25"/>
      <c r="L8" s="25"/>
    </row>
    <row r="9" ht="14.15" spans="1:12">
      <c r="A9" s="28" t="s">
        <v>11</v>
      </c>
      <c r="B9" s="7" t="s">
        <v>12</v>
      </c>
      <c r="C9" s="25"/>
      <c r="D9" s="25"/>
      <c r="E9" s="25"/>
      <c r="F9" s="25"/>
      <c r="G9" s="25"/>
      <c r="H9" s="25"/>
      <c r="I9" s="25"/>
      <c r="J9" s="25"/>
      <c r="K9" s="25"/>
      <c r="L9" s="25"/>
    </row>
    <row r="10" ht="28.3" spans="1:12">
      <c r="A10" s="29" t="s">
        <v>13</v>
      </c>
      <c r="B10" s="7" t="s">
        <v>14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</row>
    <row r="11" spans="1:12">
      <c r="A11" s="30"/>
      <c r="B11" s="20"/>
      <c r="C11" s="25"/>
      <c r="D11" s="25"/>
      <c r="E11" s="25"/>
      <c r="F11" s="25"/>
      <c r="G11" s="25"/>
      <c r="H11" s="25"/>
      <c r="I11" s="25"/>
      <c r="J11" s="25"/>
      <c r="K11" s="25"/>
      <c r="L11" s="25"/>
    </row>
    <row r="12" spans="1:12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</row>
    <row r="13" spans="1:12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</row>
    <row r="14" spans="1:12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5" spans="1:12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</row>
    <row r="16" spans="1:12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</row>
    <row r="18" spans="1:12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</row>
    <row r="19" spans="1:12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</row>
  </sheetData>
  <mergeCells count="2">
    <mergeCell ref="A1:L1"/>
    <mergeCell ref="A2:L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opLeftCell="A3" workbookViewId="0">
      <selection activeCell="A1" sqref="A1:F1"/>
    </sheetView>
  </sheetViews>
  <sheetFormatPr defaultColWidth="9" defaultRowHeight="14.1" outlineLevelCol="5"/>
  <cols>
    <col min="1" max="1" width="10" customWidth="1"/>
    <col min="2" max="2" width="24" customWidth="1"/>
    <col min="3" max="3" width="28" customWidth="1"/>
    <col min="4" max="4" width="20" customWidth="1"/>
    <col min="5" max="5" width="12" customWidth="1"/>
    <col min="6" max="6" width="22" customWidth="1"/>
  </cols>
  <sheetData>
    <row r="1" ht="100.8" customHeight="1" spans="1:6">
      <c r="A1" s="1" t="s">
        <v>15</v>
      </c>
      <c r="B1" s="1"/>
      <c r="C1" s="1"/>
      <c r="D1" s="1"/>
      <c r="E1" s="1"/>
      <c r="F1" s="1"/>
    </row>
    <row r="3" ht="39.6" customHeight="1" spans="1:6">
      <c r="A3" s="8" t="s">
        <v>16</v>
      </c>
      <c r="B3" s="9" t="s">
        <v>17</v>
      </c>
      <c r="C3" s="9" t="s">
        <v>18</v>
      </c>
      <c r="D3" s="9" t="s">
        <v>19</v>
      </c>
      <c r="E3" s="9" t="s">
        <v>20</v>
      </c>
      <c r="F3" s="12" t="s">
        <v>21</v>
      </c>
    </row>
    <row r="4" ht="15" customHeight="1" spans="1:6">
      <c r="A4" s="13" t="s">
        <v>22</v>
      </c>
      <c r="B4" s="14" t="s">
        <v>23</v>
      </c>
      <c r="C4" s="14" t="s">
        <v>24</v>
      </c>
      <c r="D4" s="14" t="s">
        <v>25</v>
      </c>
      <c r="E4" s="14" t="s">
        <v>26</v>
      </c>
      <c r="F4" s="15" t="s">
        <v>27</v>
      </c>
    </row>
    <row r="5" ht="15" customHeight="1" spans="1:6">
      <c r="A5" s="13" t="s">
        <v>28</v>
      </c>
      <c r="B5" s="14" t="s">
        <v>29</v>
      </c>
      <c r="C5" s="14" t="s">
        <v>30</v>
      </c>
      <c r="D5" s="14" t="s">
        <v>31</v>
      </c>
      <c r="E5" s="14" t="s">
        <v>32</v>
      </c>
      <c r="F5" s="15" t="s">
        <v>27</v>
      </c>
    </row>
    <row r="6" ht="15" customHeight="1" spans="1:6">
      <c r="A6" s="13" t="s">
        <v>33</v>
      </c>
      <c r="B6" s="14" t="s">
        <v>34</v>
      </c>
      <c r="C6" s="14" t="s">
        <v>35</v>
      </c>
      <c r="D6" s="14" t="s">
        <v>36</v>
      </c>
      <c r="E6" s="14" t="s">
        <v>37</v>
      </c>
      <c r="F6" s="15" t="s">
        <v>27</v>
      </c>
    </row>
    <row r="7" ht="15" customHeight="1" spans="1:6">
      <c r="A7" s="13" t="s">
        <v>38</v>
      </c>
      <c r="B7" s="14" t="s">
        <v>39</v>
      </c>
      <c r="C7" s="14" t="s">
        <v>40</v>
      </c>
      <c r="D7" s="14" t="s">
        <v>41</v>
      </c>
      <c r="E7" s="14" t="s">
        <v>42</v>
      </c>
      <c r="F7" s="15" t="s">
        <v>27</v>
      </c>
    </row>
    <row r="8" ht="15" customHeight="1" spans="1:6">
      <c r="A8" s="21" t="s">
        <v>43</v>
      </c>
      <c r="B8" s="22" t="s">
        <v>44</v>
      </c>
      <c r="C8" s="22" t="s">
        <v>45</v>
      </c>
      <c r="D8" s="22" t="s">
        <v>46</v>
      </c>
      <c r="E8" s="22" t="s">
        <v>47</v>
      </c>
      <c r="F8" s="23" t="s">
        <v>27</v>
      </c>
    </row>
    <row r="10" ht="15" customHeight="1" spans="1:6">
      <c r="A10" s="2" t="s">
        <v>48</v>
      </c>
      <c r="B10" s="2" t="s">
        <v>49</v>
      </c>
      <c r="C10" s="2" t="s">
        <v>49</v>
      </c>
      <c r="D10" s="2" t="s">
        <v>49</v>
      </c>
      <c r="E10" s="2" t="s">
        <v>49</v>
      </c>
      <c r="F10" s="2" t="s">
        <v>49</v>
      </c>
    </row>
    <row r="11" ht="26.4" customHeight="1" spans="1:6">
      <c r="A11" s="8" t="s">
        <v>50</v>
      </c>
      <c r="B11" s="9" t="s">
        <v>51</v>
      </c>
      <c r="C11" s="9" t="s">
        <v>52</v>
      </c>
      <c r="D11" s="9" t="s">
        <v>53</v>
      </c>
      <c r="E11" s="9" t="s">
        <v>54</v>
      </c>
      <c r="F11" s="12" t="s">
        <v>21</v>
      </c>
    </row>
    <row r="12" ht="15" customHeight="1" spans="1:6">
      <c r="A12" s="13" t="s">
        <v>55</v>
      </c>
      <c r="B12" s="14" t="s">
        <v>56</v>
      </c>
      <c r="C12" s="14" t="s">
        <v>36</v>
      </c>
      <c r="D12" s="14" t="s">
        <v>57</v>
      </c>
      <c r="E12" s="14" t="s">
        <v>58</v>
      </c>
      <c r="F12" s="15" t="s">
        <v>59</v>
      </c>
    </row>
    <row r="13" ht="15" customHeight="1" spans="1:6">
      <c r="A13" s="13" t="s">
        <v>60</v>
      </c>
      <c r="B13" s="14" t="s">
        <v>61</v>
      </c>
      <c r="C13" s="14" t="s">
        <v>31</v>
      </c>
      <c r="D13" s="14" t="s">
        <v>57</v>
      </c>
      <c r="E13" s="14" t="s">
        <v>58</v>
      </c>
      <c r="F13" s="15" t="s">
        <v>59</v>
      </c>
    </row>
    <row r="14" ht="15" customHeight="1" spans="1:6">
      <c r="A14" s="13" t="s">
        <v>62</v>
      </c>
      <c r="B14" s="14" t="s">
        <v>63</v>
      </c>
      <c r="C14" s="14" t="s">
        <v>25</v>
      </c>
      <c r="D14" s="14" t="s">
        <v>57</v>
      </c>
      <c r="E14" s="14" t="s">
        <v>58</v>
      </c>
      <c r="F14" s="15" t="s">
        <v>59</v>
      </c>
    </row>
    <row r="15" ht="15" customHeight="1" spans="1:6">
      <c r="A15" s="13" t="s">
        <v>64</v>
      </c>
      <c r="B15" s="14" t="s">
        <v>65</v>
      </c>
      <c r="C15" s="14" t="s">
        <v>41</v>
      </c>
      <c r="D15" s="14" t="s">
        <v>57</v>
      </c>
      <c r="E15" s="14" t="s">
        <v>58</v>
      </c>
      <c r="F15" s="15" t="s">
        <v>59</v>
      </c>
    </row>
    <row r="16" ht="15" customHeight="1" spans="1:6">
      <c r="A16" s="21" t="s">
        <v>66</v>
      </c>
      <c r="B16" s="22" t="s">
        <v>67</v>
      </c>
      <c r="C16" s="22" t="s">
        <v>46</v>
      </c>
      <c r="D16" s="22" t="s">
        <v>57</v>
      </c>
      <c r="E16" s="22" t="s">
        <v>58</v>
      </c>
      <c r="F16" s="23" t="s">
        <v>59</v>
      </c>
    </row>
  </sheetData>
  <mergeCells count="1">
    <mergeCell ref="A1:F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9"/>
  <sheetViews>
    <sheetView topLeftCell="A133" workbookViewId="0">
      <selection activeCell="A1" sqref="A1:M1"/>
    </sheetView>
  </sheetViews>
  <sheetFormatPr defaultColWidth="9" defaultRowHeight="14.1"/>
  <cols>
    <col min="1" max="1" width="16" customWidth="1"/>
    <col min="2" max="2" width="8" customWidth="1"/>
    <col min="3" max="3" width="10" customWidth="1"/>
    <col min="4" max="4" width="8" customWidth="1"/>
    <col min="5" max="5" width="18" customWidth="1"/>
    <col min="6" max="6" width="8" customWidth="1"/>
    <col min="7" max="7" width="24" customWidth="1"/>
    <col min="8" max="8" width="22" customWidth="1"/>
    <col min="9" max="9" width="85" customWidth="1"/>
    <col min="10" max="11" width="8" customWidth="1"/>
    <col min="12" max="12" width="16" customWidth="1"/>
    <col min="13" max="13" width="20" customWidth="1"/>
  </cols>
  <sheetData>
    <row r="1" ht="17.55" spans="1:13">
      <c r="A1" s="1" t="s">
        <v>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3" t="s">
        <v>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ht="15" customHeight="1" spans="1:13">
      <c r="A4" s="8" t="s">
        <v>70</v>
      </c>
      <c r="B4" s="9" t="s">
        <v>50</v>
      </c>
      <c r="C4" s="9" t="s">
        <v>71</v>
      </c>
      <c r="D4" s="9" t="s">
        <v>72</v>
      </c>
      <c r="E4" s="9" t="s">
        <v>73</v>
      </c>
      <c r="F4" s="9" t="s">
        <v>74</v>
      </c>
      <c r="G4" s="9" t="s">
        <v>75</v>
      </c>
      <c r="H4" s="9" t="s">
        <v>76</v>
      </c>
      <c r="I4" s="9" t="s">
        <v>77</v>
      </c>
      <c r="J4" s="9" t="s">
        <v>78</v>
      </c>
      <c r="K4" s="9" t="s">
        <v>79</v>
      </c>
      <c r="L4" s="9" t="s">
        <v>53</v>
      </c>
      <c r="M4" s="12" t="s">
        <v>21</v>
      </c>
    </row>
    <row r="5" ht="15" customHeight="1" spans="1:13">
      <c r="A5" s="13" t="s">
        <v>80</v>
      </c>
      <c r="B5" s="14" t="s">
        <v>55</v>
      </c>
      <c r="C5" s="14" t="s">
        <v>81</v>
      </c>
      <c r="D5" s="14" t="s">
        <v>82</v>
      </c>
      <c r="E5" s="14" t="s">
        <v>83</v>
      </c>
      <c r="F5" s="14">
        <v>1</v>
      </c>
      <c r="G5" s="14" t="s">
        <v>38</v>
      </c>
      <c r="H5" s="14" t="s">
        <v>84</v>
      </c>
      <c r="I5" s="14" t="s">
        <v>85</v>
      </c>
      <c r="J5" s="14">
        <v>1</v>
      </c>
      <c r="K5" s="14" t="s">
        <v>86</v>
      </c>
      <c r="L5" s="14" t="s">
        <v>87</v>
      </c>
      <c r="M5" s="15" t="s">
        <v>88</v>
      </c>
    </row>
    <row r="6" ht="15" customHeight="1" spans="1:13">
      <c r="A6" s="13" t="s">
        <v>89</v>
      </c>
      <c r="B6" s="14" t="s">
        <v>55</v>
      </c>
      <c r="C6" s="14" t="s">
        <v>81</v>
      </c>
      <c r="D6" s="14" t="s">
        <v>82</v>
      </c>
      <c r="E6" s="14" t="s">
        <v>83</v>
      </c>
      <c r="F6" s="14">
        <v>2</v>
      </c>
      <c r="G6" s="14" t="s">
        <v>90</v>
      </c>
      <c r="H6" s="14" t="s">
        <v>91</v>
      </c>
      <c r="I6" s="14" t="s">
        <v>92</v>
      </c>
      <c r="J6" s="14">
        <v>1</v>
      </c>
      <c r="K6" s="14" t="s">
        <v>86</v>
      </c>
      <c r="L6" s="14" t="s">
        <v>93</v>
      </c>
      <c r="M6" s="15" t="s">
        <v>88</v>
      </c>
    </row>
    <row r="7" ht="15" customHeight="1" spans="1:13">
      <c r="A7" s="13" t="s">
        <v>94</v>
      </c>
      <c r="B7" s="14" t="s">
        <v>55</v>
      </c>
      <c r="C7" s="14" t="s">
        <v>81</v>
      </c>
      <c r="D7" s="14" t="s">
        <v>82</v>
      </c>
      <c r="E7" s="14" t="s">
        <v>83</v>
      </c>
      <c r="F7" s="14">
        <v>3</v>
      </c>
      <c r="G7" s="14" t="s">
        <v>33</v>
      </c>
      <c r="H7" s="14" t="s">
        <v>95</v>
      </c>
      <c r="I7" s="14" t="s">
        <v>96</v>
      </c>
      <c r="J7" s="14">
        <v>1</v>
      </c>
      <c r="K7" s="14" t="s">
        <v>86</v>
      </c>
      <c r="L7" s="14" t="s">
        <v>87</v>
      </c>
      <c r="M7" s="15" t="s">
        <v>88</v>
      </c>
    </row>
    <row r="8" ht="15" customHeight="1" spans="1:13">
      <c r="A8" s="13" t="s">
        <v>97</v>
      </c>
      <c r="B8" s="14" t="s">
        <v>55</v>
      </c>
      <c r="C8" s="14" t="s">
        <v>81</v>
      </c>
      <c r="D8" s="14" t="s">
        <v>82</v>
      </c>
      <c r="E8" s="14" t="s">
        <v>83</v>
      </c>
      <c r="F8" s="14">
        <v>4</v>
      </c>
      <c r="G8" s="14" t="s">
        <v>38</v>
      </c>
      <c r="H8" s="14" t="s">
        <v>98</v>
      </c>
      <c r="I8" s="14" t="s">
        <v>99</v>
      </c>
      <c r="J8" s="14">
        <v>1</v>
      </c>
      <c r="K8" s="14" t="s">
        <v>86</v>
      </c>
      <c r="L8" s="14" t="s">
        <v>87</v>
      </c>
      <c r="M8" s="15" t="s">
        <v>88</v>
      </c>
    </row>
    <row r="9" ht="15" customHeight="1" spans="1:13">
      <c r="A9" s="13" t="s">
        <v>100</v>
      </c>
      <c r="B9" s="14" t="s">
        <v>55</v>
      </c>
      <c r="C9" s="14" t="s">
        <v>81</v>
      </c>
      <c r="D9" s="14" t="s">
        <v>82</v>
      </c>
      <c r="E9" s="14" t="s">
        <v>83</v>
      </c>
      <c r="F9" s="14">
        <v>5</v>
      </c>
      <c r="G9" s="14" t="s">
        <v>33</v>
      </c>
      <c r="H9" s="14" t="s">
        <v>101</v>
      </c>
      <c r="I9" s="14" t="s">
        <v>102</v>
      </c>
      <c r="J9" s="14">
        <v>1</v>
      </c>
      <c r="K9" s="14" t="s">
        <v>86</v>
      </c>
      <c r="L9" s="14" t="s">
        <v>87</v>
      </c>
      <c r="M9" s="15" t="s">
        <v>88</v>
      </c>
    </row>
    <row r="10" ht="15" customHeight="1" spans="1:13">
      <c r="A10" s="13" t="s">
        <v>103</v>
      </c>
      <c r="B10" s="14" t="s">
        <v>55</v>
      </c>
      <c r="C10" s="14" t="s">
        <v>81</v>
      </c>
      <c r="D10" s="14" t="s">
        <v>82</v>
      </c>
      <c r="E10" s="14" t="s">
        <v>83</v>
      </c>
      <c r="F10" s="14">
        <v>6</v>
      </c>
      <c r="G10" s="14" t="s">
        <v>43</v>
      </c>
      <c r="H10" s="14" t="s">
        <v>104</v>
      </c>
      <c r="I10" s="14" t="s">
        <v>105</v>
      </c>
      <c r="J10" s="14">
        <v>1</v>
      </c>
      <c r="K10" s="14" t="s">
        <v>86</v>
      </c>
      <c r="L10" s="14" t="s">
        <v>87</v>
      </c>
      <c r="M10" s="15" t="s">
        <v>88</v>
      </c>
    </row>
    <row r="11" ht="15" customHeight="1" spans="1:13">
      <c r="A11" s="13" t="s">
        <v>106</v>
      </c>
      <c r="B11" s="14" t="s">
        <v>55</v>
      </c>
      <c r="C11" s="14" t="s">
        <v>81</v>
      </c>
      <c r="D11" s="14" t="s">
        <v>82</v>
      </c>
      <c r="E11" s="14" t="s">
        <v>83</v>
      </c>
      <c r="F11" s="14">
        <v>7</v>
      </c>
      <c r="G11" s="14" t="s">
        <v>43</v>
      </c>
      <c r="H11" s="14" t="s">
        <v>107</v>
      </c>
      <c r="I11" s="14" t="s">
        <v>108</v>
      </c>
      <c r="J11" s="14">
        <v>1</v>
      </c>
      <c r="K11" s="14" t="s">
        <v>86</v>
      </c>
      <c r="L11" s="14" t="s">
        <v>87</v>
      </c>
      <c r="M11" s="15" t="s">
        <v>88</v>
      </c>
    </row>
    <row r="12" ht="15" customHeight="1" spans="1:13">
      <c r="A12" s="13" t="s">
        <v>109</v>
      </c>
      <c r="B12" s="14" t="s">
        <v>55</v>
      </c>
      <c r="C12" s="14" t="s">
        <v>81</v>
      </c>
      <c r="D12" s="14" t="s">
        <v>82</v>
      </c>
      <c r="E12" s="14" t="s">
        <v>83</v>
      </c>
      <c r="F12" s="14">
        <v>8</v>
      </c>
      <c r="G12" s="14" t="s">
        <v>90</v>
      </c>
      <c r="H12" s="14" t="s">
        <v>110</v>
      </c>
      <c r="I12" s="14" t="s">
        <v>111</v>
      </c>
      <c r="J12" s="14">
        <v>1</v>
      </c>
      <c r="K12" s="14" t="s">
        <v>86</v>
      </c>
      <c r="L12" s="14" t="s">
        <v>93</v>
      </c>
      <c r="M12" s="15" t="s">
        <v>88</v>
      </c>
    </row>
    <row r="13" ht="15" customHeight="1" spans="1:13">
      <c r="A13" s="13" t="s">
        <v>112</v>
      </c>
      <c r="B13" s="14" t="s">
        <v>55</v>
      </c>
      <c r="C13" s="14" t="s">
        <v>81</v>
      </c>
      <c r="D13" s="14" t="s">
        <v>82</v>
      </c>
      <c r="E13" s="14" t="s">
        <v>83</v>
      </c>
      <c r="F13" s="14">
        <v>9</v>
      </c>
      <c r="G13" s="14" t="s">
        <v>33</v>
      </c>
      <c r="H13" s="14" t="s">
        <v>113</v>
      </c>
      <c r="I13" s="14" t="s">
        <v>114</v>
      </c>
      <c r="J13" s="14">
        <v>1</v>
      </c>
      <c r="K13" s="14" t="s">
        <v>86</v>
      </c>
      <c r="L13" s="14" t="s">
        <v>87</v>
      </c>
      <c r="M13" s="15" t="s">
        <v>88</v>
      </c>
    </row>
    <row r="14" ht="15" customHeight="1" spans="1:13">
      <c r="A14" s="13" t="s">
        <v>115</v>
      </c>
      <c r="B14" s="14" t="s">
        <v>55</v>
      </c>
      <c r="C14" s="14" t="s">
        <v>81</v>
      </c>
      <c r="D14" s="14" t="s">
        <v>82</v>
      </c>
      <c r="E14" s="14" t="s">
        <v>83</v>
      </c>
      <c r="F14" s="14">
        <v>10</v>
      </c>
      <c r="G14" s="14" t="s">
        <v>38</v>
      </c>
      <c r="H14" s="14" t="s">
        <v>116</v>
      </c>
      <c r="I14" s="14" t="s">
        <v>117</v>
      </c>
      <c r="J14" s="14">
        <v>1</v>
      </c>
      <c r="K14" s="14" t="s">
        <v>86</v>
      </c>
      <c r="L14" s="14" t="s">
        <v>87</v>
      </c>
      <c r="M14" s="15" t="s">
        <v>88</v>
      </c>
    </row>
    <row r="15" ht="15" customHeight="1" spans="1:13">
      <c r="A15" s="13" t="s">
        <v>118</v>
      </c>
      <c r="B15" s="14" t="s">
        <v>60</v>
      </c>
      <c r="C15" s="14" t="s">
        <v>81</v>
      </c>
      <c r="D15" s="14" t="s">
        <v>82</v>
      </c>
      <c r="E15" s="14" t="s">
        <v>83</v>
      </c>
      <c r="F15" s="14">
        <v>1</v>
      </c>
      <c r="G15" s="14" t="s">
        <v>33</v>
      </c>
      <c r="H15" s="14" t="s">
        <v>119</v>
      </c>
      <c r="I15" s="14" t="s">
        <v>120</v>
      </c>
      <c r="J15" s="14">
        <v>1</v>
      </c>
      <c r="K15" s="14" t="s">
        <v>86</v>
      </c>
      <c r="L15" s="14" t="s">
        <v>87</v>
      </c>
      <c r="M15" s="15" t="s">
        <v>88</v>
      </c>
    </row>
    <row r="16" ht="15" customHeight="1" spans="1:13">
      <c r="A16" s="13" t="s">
        <v>121</v>
      </c>
      <c r="B16" s="14" t="s">
        <v>60</v>
      </c>
      <c r="C16" s="14" t="s">
        <v>81</v>
      </c>
      <c r="D16" s="14" t="s">
        <v>82</v>
      </c>
      <c r="E16" s="14" t="s">
        <v>83</v>
      </c>
      <c r="F16" s="14">
        <v>2</v>
      </c>
      <c r="G16" s="14" t="s">
        <v>43</v>
      </c>
      <c r="H16" s="14" t="s">
        <v>122</v>
      </c>
      <c r="I16" s="14" t="s">
        <v>123</v>
      </c>
      <c r="J16" s="14">
        <v>1</v>
      </c>
      <c r="K16" s="14" t="s">
        <v>86</v>
      </c>
      <c r="L16" s="14" t="s">
        <v>87</v>
      </c>
      <c r="M16" s="15" t="s">
        <v>88</v>
      </c>
    </row>
    <row r="17" ht="15" customHeight="1" spans="1:13">
      <c r="A17" s="13" t="s">
        <v>124</v>
      </c>
      <c r="B17" s="14" t="s">
        <v>60</v>
      </c>
      <c r="C17" s="14" t="s">
        <v>81</v>
      </c>
      <c r="D17" s="14" t="s">
        <v>82</v>
      </c>
      <c r="E17" s="14" t="s">
        <v>83</v>
      </c>
      <c r="F17" s="14">
        <v>3</v>
      </c>
      <c r="G17" s="14" t="s">
        <v>90</v>
      </c>
      <c r="H17" s="14" t="s">
        <v>125</v>
      </c>
      <c r="I17" s="14" t="s">
        <v>126</v>
      </c>
      <c r="J17" s="14">
        <v>1</v>
      </c>
      <c r="K17" s="14" t="s">
        <v>86</v>
      </c>
      <c r="L17" s="14" t="s">
        <v>93</v>
      </c>
      <c r="M17" s="15" t="s">
        <v>88</v>
      </c>
    </row>
    <row r="18" ht="15" customHeight="1" spans="1:13">
      <c r="A18" s="13" t="s">
        <v>127</v>
      </c>
      <c r="B18" s="14" t="s">
        <v>60</v>
      </c>
      <c r="C18" s="14" t="s">
        <v>81</v>
      </c>
      <c r="D18" s="14" t="s">
        <v>82</v>
      </c>
      <c r="E18" s="14" t="s">
        <v>83</v>
      </c>
      <c r="F18" s="14">
        <v>4</v>
      </c>
      <c r="G18" s="14" t="s">
        <v>33</v>
      </c>
      <c r="H18" s="14" t="s">
        <v>128</v>
      </c>
      <c r="I18" s="14" t="s">
        <v>129</v>
      </c>
      <c r="J18" s="14">
        <v>1</v>
      </c>
      <c r="K18" s="14" t="s">
        <v>86</v>
      </c>
      <c r="L18" s="14" t="s">
        <v>87</v>
      </c>
      <c r="M18" s="15" t="s">
        <v>88</v>
      </c>
    </row>
    <row r="19" ht="15" customHeight="1" spans="1:13">
      <c r="A19" s="13" t="s">
        <v>130</v>
      </c>
      <c r="B19" s="14" t="s">
        <v>60</v>
      </c>
      <c r="C19" s="14" t="s">
        <v>81</v>
      </c>
      <c r="D19" s="14" t="s">
        <v>82</v>
      </c>
      <c r="E19" s="14" t="s">
        <v>83</v>
      </c>
      <c r="F19" s="14">
        <v>5</v>
      </c>
      <c r="G19" s="14" t="s">
        <v>33</v>
      </c>
      <c r="H19" s="14" t="s">
        <v>131</v>
      </c>
      <c r="I19" s="14" t="s">
        <v>132</v>
      </c>
      <c r="J19" s="14">
        <v>1</v>
      </c>
      <c r="K19" s="14" t="s">
        <v>86</v>
      </c>
      <c r="L19" s="14" t="s">
        <v>87</v>
      </c>
      <c r="M19" s="15" t="s">
        <v>88</v>
      </c>
    </row>
    <row r="20" ht="15" customHeight="1" spans="1:13">
      <c r="A20" s="13" t="s">
        <v>133</v>
      </c>
      <c r="B20" s="14" t="s">
        <v>60</v>
      </c>
      <c r="C20" s="14" t="s">
        <v>81</v>
      </c>
      <c r="D20" s="14" t="s">
        <v>82</v>
      </c>
      <c r="E20" s="14" t="s">
        <v>83</v>
      </c>
      <c r="F20" s="14">
        <v>6</v>
      </c>
      <c r="G20" s="14" t="s">
        <v>90</v>
      </c>
      <c r="H20" s="14" t="s">
        <v>134</v>
      </c>
      <c r="I20" s="14" t="s">
        <v>135</v>
      </c>
      <c r="J20" s="14">
        <v>1</v>
      </c>
      <c r="K20" s="14" t="s">
        <v>86</v>
      </c>
      <c r="L20" s="14" t="s">
        <v>93</v>
      </c>
      <c r="M20" s="15" t="s">
        <v>88</v>
      </c>
    </row>
    <row r="21" spans="1:13">
      <c r="A21" s="13" t="s">
        <v>136</v>
      </c>
      <c r="B21" s="14" t="s">
        <v>60</v>
      </c>
      <c r="C21" s="14" t="s">
        <v>81</v>
      </c>
      <c r="D21" s="14" t="s">
        <v>82</v>
      </c>
      <c r="E21" s="14" t="s">
        <v>83</v>
      </c>
      <c r="F21" s="14">
        <v>7</v>
      </c>
      <c r="G21" s="14" t="s">
        <v>43</v>
      </c>
      <c r="H21" s="14" t="s">
        <v>137</v>
      </c>
      <c r="I21" s="14" t="s">
        <v>138</v>
      </c>
      <c r="J21" s="14">
        <v>1</v>
      </c>
      <c r="K21" s="14" t="s">
        <v>86</v>
      </c>
      <c r="L21" s="14" t="s">
        <v>87</v>
      </c>
      <c r="M21" s="15" t="s">
        <v>88</v>
      </c>
    </row>
    <row r="22" spans="1:13">
      <c r="A22" s="13" t="s">
        <v>139</v>
      </c>
      <c r="B22" s="14" t="s">
        <v>60</v>
      </c>
      <c r="C22" s="14" t="s">
        <v>81</v>
      </c>
      <c r="D22" s="14" t="s">
        <v>82</v>
      </c>
      <c r="E22" s="14" t="s">
        <v>83</v>
      </c>
      <c r="F22" s="14">
        <v>8</v>
      </c>
      <c r="G22" s="14" t="s">
        <v>43</v>
      </c>
      <c r="H22" s="14" t="s">
        <v>140</v>
      </c>
      <c r="I22" s="14" t="s">
        <v>141</v>
      </c>
      <c r="J22" s="14">
        <v>1</v>
      </c>
      <c r="K22" s="14" t="s">
        <v>86</v>
      </c>
      <c r="L22" s="14" t="s">
        <v>87</v>
      </c>
      <c r="M22" s="15" t="s">
        <v>88</v>
      </c>
    </row>
    <row r="23" spans="1:13">
      <c r="A23" s="13" t="s">
        <v>142</v>
      </c>
      <c r="B23" s="14" t="s">
        <v>60</v>
      </c>
      <c r="C23" s="14" t="s">
        <v>81</v>
      </c>
      <c r="D23" s="14" t="s">
        <v>82</v>
      </c>
      <c r="E23" s="14" t="s">
        <v>83</v>
      </c>
      <c r="F23" s="14">
        <v>9</v>
      </c>
      <c r="G23" s="14" t="s">
        <v>38</v>
      </c>
      <c r="H23" s="14" t="s">
        <v>143</v>
      </c>
      <c r="I23" s="14" t="s">
        <v>144</v>
      </c>
      <c r="J23" s="14">
        <v>1</v>
      </c>
      <c r="K23" s="14" t="s">
        <v>86</v>
      </c>
      <c r="L23" s="14" t="s">
        <v>87</v>
      </c>
      <c r="M23" s="15" t="s">
        <v>88</v>
      </c>
    </row>
    <row r="24" spans="1:13">
      <c r="A24" s="13" t="s">
        <v>145</v>
      </c>
      <c r="B24" s="14" t="s">
        <v>60</v>
      </c>
      <c r="C24" s="14" t="s">
        <v>81</v>
      </c>
      <c r="D24" s="14" t="s">
        <v>82</v>
      </c>
      <c r="E24" s="14" t="s">
        <v>83</v>
      </c>
      <c r="F24" s="14">
        <v>10</v>
      </c>
      <c r="G24" s="14" t="s">
        <v>90</v>
      </c>
      <c r="H24" s="14" t="s">
        <v>146</v>
      </c>
      <c r="I24" s="14" t="s">
        <v>147</v>
      </c>
      <c r="J24" s="14">
        <v>1</v>
      </c>
      <c r="K24" s="14" t="s">
        <v>86</v>
      </c>
      <c r="L24" s="14" t="s">
        <v>93</v>
      </c>
      <c r="M24" s="15" t="s">
        <v>88</v>
      </c>
    </row>
    <row r="25" spans="1:13">
      <c r="A25" s="13" t="s">
        <v>148</v>
      </c>
      <c r="B25" s="14" t="s">
        <v>62</v>
      </c>
      <c r="C25" s="14" t="s">
        <v>81</v>
      </c>
      <c r="D25" s="14" t="s">
        <v>82</v>
      </c>
      <c r="E25" s="14" t="s">
        <v>83</v>
      </c>
      <c r="F25" s="14">
        <v>1</v>
      </c>
      <c r="G25" s="14" t="s">
        <v>33</v>
      </c>
      <c r="H25" s="14" t="s">
        <v>149</v>
      </c>
      <c r="I25" s="14" t="s">
        <v>150</v>
      </c>
      <c r="J25" s="14">
        <v>1</v>
      </c>
      <c r="K25" s="14" t="s">
        <v>86</v>
      </c>
      <c r="L25" s="14" t="s">
        <v>87</v>
      </c>
      <c r="M25" s="15" t="s">
        <v>88</v>
      </c>
    </row>
    <row r="26" spans="1:13">
      <c r="A26" s="13" t="s">
        <v>151</v>
      </c>
      <c r="B26" s="14" t="s">
        <v>62</v>
      </c>
      <c r="C26" s="14" t="s">
        <v>81</v>
      </c>
      <c r="D26" s="14" t="s">
        <v>82</v>
      </c>
      <c r="E26" s="14" t="s">
        <v>83</v>
      </c>
      <c r="F26" s="14">
        <v>2</v>
      </c>
      <c r="G26" s="14" t="s">
        <v>33</v>
      </c>
      <c r="H26" s="14" t="s">
        <v>152</v>
      </c>
      <c r="I26" s="14" t="s">
        <v>153</v>
      </c>
      <c r="J26" s="14">
        <v>1</v>
      </c>
      <c r="K26" s="14" t="s">
        <v>86</v>
      </c>
      <c r="L26" s="14" t="s">
        <v>87</v>
      </c>
      <c r="M26" s="15" t="s">
        <v>88</v>
      </c>
    </row>
    <row r="27" spans="1:13">
      <c r="A27" s="13" t="s">
        <v>154</v>
      </c>
      <c r="B27" s="14" t="s">
        <v>62</v>
      </c>
      <c r="C27" s="14" t="s">
        <v>81</v>
      </c>
      <c r="D27" s="14" t="s">
        <v>82</v>
      </c>
      <c r="E27" s="14" t="s">
        <v>83</v>
      </c>
      <c r="F27" s="14">
        <v>3</v>
      </c>
      <c r="G27" s="14" t="s">
        <v>38</v>
      </c>
      <c r="H27" s="14" t="s">
        <v>155</v>
      </c>
      <c r="I27" s="14" t="s">
        <v>156</v>
      </c>
      <c r="J27" s="14">
        <v>1</v>
      </c>
      <c r="K27" s="14" t="s">
        <v>86</v>
      </c>
      <c r="L27" s="14" t="s">
        <v>87</v>
      </c>
      <c r="M27" s="15" t="s">
        <v>88</v>
      </c>
    </row>
    <row r="28" spans="1:13">
      <c r="A28" s="13" t="s">
        <v>157</v>
      </c>
      <c r="B28" s="14" t="s">
        <v>62</v>
      </c>
      <c r="C28" s="14" t="s">
        <v>81</v>
      </c>
      <c r="D28" s="14" t="s">
        <v>82</v>
      </c>
      <c r="E28" s="14" t="s">
        <v>83</v>
      </c>
      <c r="F28" s="14">
        <v>4</v>
      </c>
      <c r="G28" s="14" t="s">
        <v>38</v>
      </c>
      <c r="H28" s="14" t="s">
        <v>158</v>
      </c>
      <c r="I28" s="14" t="s">
        <v>159</v>
      </c>
      <c r="J28" s="14">
        <v>1</v>
      </c>
      <c r="K28" s="14" t="s">
        <v>86</v>
      </c>
      <c r="L28" s="14" t="s">
        <v>87</v>
      </c>
      <c r="M28" s="15" t="s">
        <v>88</v>
      </c>
    </row>
    <row r="29" spans="1:13">
      <c r="A29" s="13" t="s">
        <v>160</v>
      </c>
      <c r="B29" s="14" t="s">
        <v>62</v>
      </c>
      <c r="C29" s="14" t="s">
        <v>81</v>
      </c>
      <c r="D29" s="14" t="s">
        <v>82</v>
      </c>
      <c r="E29" s="14" t="s">
        <v>83</v>
      </c>
      <c r="F29" s="14">
        <v>5</v>
      </c>
      <c r="G29" s="14" t="s">
        <v>43</v>
      </c>
      <c r="H29" s="14" t="s">
        <v>161</v>
      </c>
      <c r="I29" s="14" t="s">
        <v>162</v>
      </c>
      <c r="J29" s="14">
        <v>1</v>
      </c>
      <c r="K29" s="14" t="s">
        <v>86</v>
      </c>
      <c r="L29" s="14" t="s">
        <v>87</v>
      </c>
      <c r="M29" s="15" t="s">
        <v>88</v>
      </c>
    </row>
    <row r="30" spans="1:13">
      <c r="A30" s="13" t="s">
        <v>163</v>
      </c>
      <c r="B30" s="14" t="s">
        <v>62</v>
      </c>
      <c r="C30" s="14" t="s">
        <v>81</v>
      </c>
      <c r="D30" s="14" t="s">
        <v>82</v>
      </c>
      <c r="E30" s="14" t="s">
        <v>83</v>
      </c>
      <c r="F30" s="14">
        <v>6</v>
      </c>
      <c r="G30" s="14" t="s">
        <v>90</v>
      </c>
      <c r="H30" s="14" t="s">
        <v>164</v>
      </c>
      <c r="I30" s="14" t="s">
        <v>165</v>
      </c>
      <c r="J30" s="14">
        <v>1</v>
      </c>
      <c r="K30" s="14" t="s">
        <v>86</v>
      </c>
      <c r="L30" s="14" t="s">
        <v>93</v>
      </c>
      <c r="M30" s="15" t="s">
        <v>88</v>
      </c>
    </row>
    <row r="31" spans="1:13">
      <c r="A31" s="13" t="s">
        <v>166</v>
      </c>
      <c r="B31" s="14" t="s">
        <v>62</v>
      </c>
      <c r="C31" s="14" t="s">
        <v>81</v>
      </c>
      <c r="D31" s="14" t="s">
        <v>82</v>
      </c>
      <c r="E31" s="14" t="s">
        <v>83</v>
      </c>
      <c r="F31" s="14">
        <v>7</v>
      </c>
      <c r="G31" s="14" t="s">
        <v>38</v>
      </c>
      <c r="H31" s="14" t="s">
        <v>167</v>
      </c>
      <c r="I31" s="14" t="s">
        <v>168</v>
      </c>
      <c r="J31" s="14">
        <v>1</v>
      </c>
      <c r="K31" s="14" t="s">
        <v>86</v>
      </c>
      <c r="L31" s="14" t="s">
        <v>87</v>
      </c>
      <c r="M31" s="15" t="s">
        <v>88</v>
      </c>
    </row>
    <row r="32" spans="1:13">
      <c r="A32" s="13" t="s">
        <v>169</v>
      </c>
      <c r="B32" s="14" t="s">
        <v>62</v>
      </c>
      <c r="C32" s="14" t="s">
        <v>81</v>
      </c>
      <c r="D32" s="14" t="s">
        <v>82</v>
      </c>
      <c r="E32" s="14" t="s">
        <v>83</v>
      </c>
      <c r="F32" s="14">
        <v>8</v>
      </c>
      <c r="G32" s="14" t="s">
        <v>28</v>
      </c>
      <c r="H32" s="14" t="s">
        <v>170</v>
      </c>
      <c r="I32" s="14" t="s">
        <v>171</v>
      </c>
      <c r="J32" s="14">
        <v>1</v>
      </c>
      <c r="K32" s="14" t="s">
        <v>86</v>
      </c>
      <c r="L32" s="14" t="s">
        <v>87</v>
      </c>
      <c r="M32" s="15" t="s">
        <v>88</v>
      </c>
    </row>
    <row r="33" spans="1:13">
      <c r="A33" s="13" t="s">
        <v>172</v>
      </c>
      <c r="B33" s="14" t="s">
        <v>62</v>
      </c>
      <c r="C33" s="14" t="s">
        <v>81</v>
      </c>
      <c r="D33" s="14" t="s">
        <v>82</v>
      </c>
      <c r="E33" s="14" t="s">
        <v>83</v>
      </c>
      <c r="F33" s="14">
        <v>9</v>
      </c>
      <c r="G33" s="14" t="s">
        <v>90</v>
      </c>
      <c r="H33" s="14" t="s">
        <v>173</v>
      </c>
      <c r="I33" s="14" t="s">
        <v>174</v>
      </c>
      <c r="J33" s="14">
        <v>1</v>
      </c>
      <c r="K33" s="14" t="s">
        <v>86</v>
      </c>
      <c r="L33" s="14" t="s">
        <v>93</v>
      </c>
      <c r="M33" s="15" t="s">
        <v>88</v>
      </c>
    </row>
    <row r="34" spans="1:13">
      <c r="A34" s="13" t="s">
        <v>175</v>
      </c>
      <c r="B34" s="14" t="s">
        <v>62</v>
      </c>
      <c r="C34" s="14" t="s">
        <v>81</v>
      </c>
      <c r="D34" s="14" t="s">
        <v>82</v>
      </c>
      <c r="E34" s="14" t="s">
        <v>83</v>
      </c>
      <c r="F34" s="14">
        <v>10</v>
      </c>
      <c r="G34" s="14" t="s">
        <v>90</v>
      </c>
      <c r="H34" s="14" t="s">
        <v>176</v>
      </c>
      <c r="I34" s="14" t="s">
        <v>177</v>
      </c>
      <c r="J34" s="14">
        <v>1</v>
      </c>
      <c r="K34" s="14" t="s">
        <v>86</v>
      </c>
      <c r="L34" s="14" t="s">
        <v>93</v>
      </c>
      <c r="M34" s="15" t="s">
        <v>88</v>
      </c>
    </row>
    <row r="35" spans="1:13">
      <c r="A35" s="13" t="s">
        <v>178</v>
      </c>
      <c r="B35" s="14" t="s">
        <v>64</v>
      </c>
      <c r="C35" s="14" t="s">
        <v>81</v>
      </c>
      <c r="D35" s="14" t="s">
        <v>82</v>
      </c>
      <c r="E35" s="14" t="s">
        <v>83</v>
      </c>
      <c r="F35" s="14">
        <v>1</v>
      </c>
      <c r="G35" s="14" t="s">
        <v>38</v>
      </c>
      <c r="H35" s="14" t="s">
        <v>179</v>
      </c>
      <c r="I35" s="14" t="s">
        <v>180</v>
      </c>
      <c r="J35" s="14">
        <v>1</v>
      </c>
      <c r="K35" s="14" t="s">
        <v>86</v>
      </c>
      <c r="L35" s="14" t="s">
        <v>87</v>
      </c>
      <c r="M35" s="15" t="s">
        <v>88</v>
      </c>
    </row>
    <row r="36" spans="1:13">
      <c r="A36" s="13" t="s">
        <v>181</v>
      </c>
      <c r="B36" s="14" t="s">
        <v>64</v>
      </c>
      <c r="C36" s="14" t="s">
        <v>81</v>
      </c>
      <c r="D36" s="14" t="s">
        <v>82</v>
      </c>
      <c r="E36" s="14" t="s">
        <v>83</v>
      </c>
      <c r="F36" s="14">
        <v>2</v>
      </c>
      <c r="G36" s="14" t="s">
        <v>22</v>
      </c>
      <c r="H36" s="14" t="s">
        <v>182</v>
      </c>
      <c r="I36" s="14" t="s">
        <v>183</v>
      </c>
      <c r="J36" s="14">
        <v>1</v>
      </c>
      <c r="K36" s="14" t="s">
        <v>86</v>
      </c>
      <c r="L36" s="14" t="s">
        <v>87</v>
      </c>
      <c r="M36" s="15" t="s">
        <v>88</v>
      </c>
    </row>
    <row r="37" spans="1:13">
      <c r="A37" s="13" t="s">
        <v>184</v>
      </c>
      <c r="B37" s="14" t="s">
        <v>64</v>
      </c>
      <c r="C37" s="14" t="s">
        <v>81</v>
      </c>
      <c r="D37" s="14" t="s">
        <v>82</v>
      </c>
      <c r="E37" s="14" t="s">
        <v>83</v>
      </c>
      <c r="F37" s="14">
        <v>3</v>
      </c>
      <c r="G37" s="14" t="s">
        <v>22</v>
      </c>
      <c r="H37" s="14" t="s">
        <v>185</v>
      </c>
      <c r="I37" s="14" t="s">
        <v>186</v>
      </c>
      <c r="J37" s="14">
        <v>1</v>
      </c>
      <c r="K37" s="14" t="s">
        <v>86</v>
      </c>
      <c r="L37" s="14" t="s">
        <v>87</v>
      </c>
      <c r="M37" s="15" t="s">
        <v>88</v>
      </c>
    </row>
    <row r="38" spans="1:13">
      <c r="A38" s="13" t="s">
        <v>187</v>
      </c>
      <c r="B38" s="14" t="s">
        <v>64</v>
      </c>
      <c r="C38" s="14" t="s">
        <v>81</v>
      </c>
      <c r="D38" s="14" t="s">
        <v>82</v>
      </c>
      <c r="E38" s="14" t="s">
        <v>83</v>
      </c>
      <c r="F38" s="14">
        <v>4</v>
      </c>
      <c r="G38" s="14" t="s">
        <v>22</v>
      </c>
      <c r="H38" s="14" t="s">
        <v>188</v>
      </c>
      <c r="I38" s="14" t="s">
        <v>189</v>
      </c>
      <c r="J38" s="14">
        <v>1</v>
      </c>
      <c r="K38" s="14" t="s">
        <v>86</v>
      </c>
      <c r="L38" s="14" t="s">
        <v>87</v>
      </c>
      <c r="M38" s="15" t="s">
        <v>88</v>
      </c>
    </row>
    <row r="39" spans="1:13">
      <c r="A39" s="13" t="s">
        <v>190</v>
      </c>
      <c r="B39" s="14" t="s">
        <v>64</v>
      </c>
      <c r="C39" s="14" t="s">
        <v>81</v>
      </c>
      <c r="D39" s="14" t="s">
        <v>82</v>
      </c>
      <c r="E39" s="14" t="s">
        <v>83</v>
      </c>
      <c r="F39" s="14">
        <v>5</v>
      </c>
      <c r="G39" s="14" t="s">
        <v>90</v>
      </c>
      <c r="H39" s="14" t="s">
        <v>191</v>
      </c>
      <c r="I39" s="14" t="s">
        <v>192</v>
      </c>
      <c r="J39" s="14">
        <v>1</v>
      </c>
      <c r="K39" s="14" t="s">
        <v>86</v>
      </c>
      <c r="L39" s="14" t="s">
        <v>93</v>
      </c>
      <c r="M39" s="15" t="s">
        <v>88</v>
      </c>
    </row>
    <row r="40" spans="1:13">
      <c r="A40" s="13" t="s">
        <v>193</v>
      </c>
      <c r="B40" s="14" t="s">
        <v>64</v>
      </c>
      <c r="C40" s="14" t="s">
        <v>81</v>
      </c>
      <c r="D40" s="14" t="s">
        <v>82</v>
      </c>
      <c r="E40" s="14" t="s">
        <v>83</v>
      </c>
      <c r="F40" s="14">
        <v>6</v>
      </c>
      <c r="G40" s="14" t="s">
        <v>22</v>
      </c>
      <c r="H40" s="14" t="s">
        <v>194</v>
      </c>
      <c r="I40" s="14" t="s">
        <v>195</v>
      </c>
      <c r="J40" s="14">
        <v>1</v>
      </c>
      <c r="K40" s="14" t="s">
        <v>86</v>
      </c>
      <c r="L40" s="14" t="s">
        <v>87</v>
      </c>
      <c r="M40" s="15" t="s">
        <v>88</v>
      </c>
    </row>
    <row r="41" spans="1:13">
      <c r="A41" s="13" t="s">
        <v>196</v>
      </c>
      <c r="B41" s="14" t="s">
        <v>64</v>
      </c>
      <c r="C41" s="14" t="s">
        <v>81</v>
      </c>
      <c r="D41" s="14" t="s">
        <v>82</v>
      </c>
      <c r="E41" s="14" t="s">
        <v>83</v>
      </c>
      <c r="F41" s="14">
        <v>7</v>
      </c>
      <c r="G41" s="14" t="s">
        <v>22</v>
      </c>
      <c r="H41" s="14" t="s">
        <v>197</v>
      </c>
      <c r="I41" s="14" t="s">
        <v>198</v>
      </c>
      <c r="J41" s="14">
        <v>1</v>
      </c>
      <c r="K41" s="14" t="s">
        <v>86</v>
      </c>
      <c r="L41" s="14" t="s">
        <v>87</v>
      </c>
      <c r="M41" s="15" t="s">
        <v>88</v>
      </c>
    </row>
    <row r="42" spans="1:13">
      <c r="A42" s="13" t="s">
        <v>199</v>
      </c>
      <c r="B42" s="14" t="s">
        <v>64</v>
      </c>
      <c r="C42" s="14" t="s">
        <v>81</v>
      </c>
      <c r="D42" s="14" t="s">
        <v>82</v>
      </c>
      <c r="E42" s="14" t="s">
        <v>83</v>
      </c>
      <c r="F42" s="14">
        <v>8</v>
      </c>
      <c r="G42" s="14" t="s">
        <v>22</v>
      </c>
      <c r="H42" s="14" t="s">
        <v>200</v>
      </c>
      <c r="I42" s="14" t="s">
        <v>201</v>
      </c>
      <c r="J42" s="14">
        <v>1</v>
      </c>
      <c r="K42" s="14" t="s">
        <v>86</v>
      </c>
      <c r="L42" s="14" t="s">
        <v>87</v>
      </c>
      <c r="M42" s="15" t="s">
        <v>88</v>
      </c>
    </row>
    <row r="43" spans="1:13">
      <c r="A43" s="13" t="s">
        <v>202</v>
      </c>
      <c r="B43" s="14" t="s">
        <v>64</v>
      </c>
      <c r="C43" s="14" t="s">
        <v>81</v>
      </c>
      <c r="D43" s="14" t="s">
        <v>82</v>
      </c>
      <c r="E43" s="14" t="s">
        <v>83</v>
      </c>
      <c r="F43" s="14">
        <v>9</v>
      </c>
      <c r="G43" s="14" t="s">
        <v>90</v>
      </c>
      <c r="H43" s="14" t="s">
        <v>203</v>
      </c>
      <c r="I43" s="14" t="s">
        <v>204</v>
      </c>
      <c r="J43" s="14">
        <v>1</v>
      </c>
      <c r="K43" s="14" t="s">
        <v>86</v>
      </c>
      <c r="L43" s="14" t="s">
        <v>93</v>
      </c>
      <c r="M43" s="15" t="s">
        <v>88</v>
      </c>
    </row>
    <row r="44" spans="1:13">
      <c r="A44" s="13" t="s">
        <v>205</v>
      </c>
      <c r="B44" s="14" t="s">
        <v>64</v>
      </c>
      <c r="C44" s="14" t="s">
        <v>81</v>
      </c>
      <c r="D44" s="14" t="s">
        <v>82</v>
      </c>
      <c r="E44" s="14" t="s">
        <v>83</v>
      </c>
      <c r="F44" s="14">
        <v>10</v>
      </c>
      <c r="G44" s="14" t="s">
        <v>90</v>
      </c>
      <c r="H44" s="14" t="s">
        <v>206</v>
      </c>
      <c r="I44" s="14" t="s">
        <v>207</v>
      </c>
      <c r="J44" s="14">
        <v>1</v>
      </c>
      <c r="K44" s="14" t="s">
        <v>86</v>
      </c>
      <c r="L44" s="14" t="s">
        <v>93</v>
      </c>
      <c r="M44" s="15" t="s">
        <v>88</v>
      </c>
    </row>
    <row r="45" spans="1:13">
      <c r="A45" s="13" t="s">
        <v>208</v>
      </c>
      <c r="B45" s="14" t="s">
        <v>66</v>
      </c>
      <c r="C45" s="14" t="s">
        <v>81</v>
      </c>
      <c r="D45" s="14" t="s">
        <v>82</v>
      </c>
      <c r="E45" s="14" t="s">
        <v>83</v>
      </c>
      <c r="F45" s="14">
        <v>1</v>
      </c>
      <c r="G45" s="14" t="s">
        <v>28</v>
      </c>
      <c r="H45" s="14" t="s">
        <v>209</v>
      </c>
      <c r="I45" s="14" t="s">
        <v>210</v>
      </c>
      <c r="J45" s="14">
        <v>1</v>
      </c>
      <c r="K45" s="14" t="s">
        <v>86</v>
      </c>
      <c r="L45" s="14" t="s">
        <v>87</v>
      </c>
      <c r="M45" s="15" t="s">
        <v>88</v>
      </c>
    </row>
    <row r="46" spans="1:13">
      <c r="A46" s="13" t="s">
        <v>211</v>
      </c>
      <c r="B46" s="14" t="s">
        <v>66</v>
      </c>
      <c r="C46" s="14" t="s">
        <v>81</v>
      </c>
      <c r="D46" s="14" t="s">
        <v>82</v>
      </c>
      <c r="E46" s="14" t="s">
        <v>83</v>
      </c>
      <c r="F46" s="14">
        <v>2</v>
      </c>
      <c r="G46" s="14" t="s">
        <v>28</v>
      </c>
      <c r="H46" s="14" t="s">
        <v>212</v>
      </c>
      <c r="I46" s="14" t="s">
        <v>213</v>
      </c>
      <c r="J46" s="14">
        <v>1</v>
      </c>
      <c r="K46" s="14" t="s">
        <v>86</v>
      </c>
      <c r="L46" s="14" t="s">
        <v>87</v>
      </c>
      <c r="M46" s="15" t="s">
        <v>88</v>
      </c>
    </row>
    <row r="47" spans="1:13">
      <c r="A47" s="13" t="s">
        <v>214</v>
      </c>
      <c r="B47" s="14" t="s">
        <v>66</v>
      </c>
      <c r="C47" s="14" t="s">
        <v>81</v>
      </c>
      <c r="D47" s="14" t="s">
        <v>82</v>
      </c>
      <c r="E47" s="14" t="s">
        <v>83</v>
      </c>
      <c r="F47" s="14">
        <v>3</v>
      </c>
      <c r="G47" s="14" t="s">
        <v>90</v>
      </c>
      <c r="H47" s="14" t="s">
        <v>215</v>
      </c>
      <c r="I47" s="14" t="s">
        <v>216</v>
      </c>
      <c r="J47" s="14">
        <v>1</v>
      </c>
      <c r="K47" s="14" t="s">
        <v>86</v>
      </c>
      <c r="L47" s="14" t="s">
        <v>93</v>
      </c>
      <c r="M47" s="15" t="s">
        <v>88</v>
      </c>
    </row>
    <row r="48" spans="1:13">
      <c r="A48" s="13" t="s">
        <v>217</v>
      </c>
      <c r="B48" s="14" t="s">
        <v>66</v>
      </c>
      <c r="C48" s="14" t="s">
        <v>81</v>
      </c>
      <c r="D48" s="14" t="s">
        <v>82</v>
      </c>
      <c r="E48" s="14" t="s">
        <v>83</v>
      </c>
      <c r="F48" s="14">
        <v>4</v>
      </c>
      <c r="G48" s="14" t="s">
        <v>90</v>
      </c>
      <c r="H48" s="14" t="s">
        <v>218</v>
      </c>
      <c r="I48" s="14" t="s">
        <v>219</v>
      </c>
      <c r="J48" s="14">
        <v>1</v>
      </c>
      <c r="K48" s="14" t="s">
        <v>86</v>
      </c>
      <c r="L48" s="14" t="s">
        <v>93</v>
      </c>
      <c r="M48" s="15" t="s">
        <v>88</v>
      </c>
    </row>
    <row r="49" spans="1:13">
      <c r="A49" s="13" t="s">
        <v>220</v>
      </c>
      <c r="B49" s="14" t="s">
        <v>66</v>
      </c>
      <c r="C49" s="14" t="s">
        <v>81</v>
      </c>
      <c r="D49" s="14" t="s">
        <v>82</v>
      </c>
      <c r="E49" s="14" t="s">
        <v>83</v>
      </c>
      <c r="F49" s="14">
        <v>5</v>
      </c>
      <c r="G49" s="14" t="s">
        <v>22</v>
      </c>
      <c r="H49" s="14" t="s">
        <v>221</v>
      </c>
      <c r="I49" s="14" t="s">
        <v>222</v>
      </c>
      <c r="J49" s="14">
        <v>1</v>
      </c>
      <c r="K49" s="14" t="s">
        <v>86</v>
      </c>
      <c r="L49" s="14" t="s">
        <v>87</v>
      </c>
      <c r="M49" s="15" t="s">
        <v>88</v>
      </c>
    </row>
    <row r="50" spans="1:13">
      <c r="A50" s="13" t="s">
        <v>223</v>
      </c>
      <c r="B50" s="14" t="s">
        <v>66</v>
      </c>
      <c r="C50" s="14" t="s">
        <v>81</v>
      </c>
      <c r="D50" s="14" t="s">
        <v>82</v>
      </c>
      <c r="E50" s="14" t="s">
        <v>83</v>
      </c>
      <c r="F50" s="14">
        <v>6</v>
      </c>
      <c r="G50" s="14" t="s">
        <v>90</v>
      </c>
      <c r="H50" s="14" t="s">
        <v>224</v>
      </c>
      <c r="I50" s="14" t="s">
        <v>225</v>
      </c>
      <c r="J50" s="14">
        <v>1</v>
      </c>
      <c r="K50" s="14" t="s">
        <v>86</v>
      </c>
      <c r="L50" s="14" t="s">
        <v>93</v>
      </c>
      <c r="M50" s="15" t="s">
        <v>88</v>
      </c>
    </row>
    <row r="51" spans="1:13">
      <c r="A51" s="13" t="s">
        <v>226</v>
      </c>
      <c r="B51" s="14" t="s">
        <v>66</v>
      </c>
      <c r="C51" s="14" t="s">
        <v>81</v>
      </c>
      <c r="D51" s="14" t="s">
        <v>82</v>
      </c>
      <c r="E51" s="14" t="s">
        <v>83</v>
      </c>
      <c r="F51" s="14">
        <v>7</v>
      </c>
      <c r="G51" s="14" t="s">
        <v>90</v>
      </c>
      <c r="H51" s="14" t="s">
        <v>227</v>
      </c>
      <c r="I51" s="14" t="s">
        <v>228</v>
      </c>
      <c r="J51" s="14">
        <v>1</v>
      </c>
      <c r="K51" s="14" t="s">
        <v>86</v>
      </c>
      <c r="L51" s="14" t="s">
        <v>93</v>
      </c>
      <c r="M51" s="15" t="s">
        <v>88</v>
      </c>
    </row>
    <row r="52" spans="1:13">
      <c r="A52" s="13" t="s">
        <v>229</v>
      </c>
      <c r="B52" s="14" t="s">
        <v>66</v>
      </c>
      <c r="C52" s="14" t="s">
        <v>81</v>
      </c>
      <c r="D52" s="14" t="s">
        <v>82</v>
      </c>
      <c r="E52" s="14" t="s">
        <v>83</v>
      </c>
      <c r="F52" s="14">
        <v>8</v>
      </c>
      <c r="G52" s="14" t="s">
        <v>38</v>
      </c>
      <c r="H52" s="14" t="s">
        <v>230</v>
      </c>
      <c r="I52" s="14" t="s">
        <v>231</v>
      </c>
      <c r="J52" s="14">
        <v>1</v>
      </c>
      <c r="K52" s="14" t="s">
        <v>86</v>
      </c>
      <c r="L52" s="14" t="s">
        <v>87</v>
      </c>
      <c r="M52" s="15" t="s">
        <v>88</v>
      </c>
    </row>
    <row r="53" spans="1:13">
      <c r="A53" s="13" t="s">
        <v>232</v>
      </c>
      <c r="B53" s="14" t="s">
        <v>66</v>
      </c>
      <c r="C53" s="14" t="s">
        <v>81</v>
      </c>
      <c r="D53" s="14" t="s">
        <v>82</v>
      </c>
      <c r="E53" s="14" t="s">
        <v>83</v>
      </c>
      <c r="F53" s="14">
        <v>9</v>
      </c>
      <c r="G53" s="14" t="s">
        <v>90</v>
      </c>
      <c r="H53" s="14" t="s">
        <v>233</v>
      </c>
      <c r="I53" s="14" t="s">
        <v>234</v>
      </c>
      <c r="J53" s="14">
        <v>1</v>
      </c>
      <c r="K53" s="14" t="s">
        <v>86</v>
      </c>
      <c r="L53" s="14" t="s">
        <v>93</v>
      </c>
      <c r="M53" s="15" t="s">
        <v>88</v>
      </c>
    </row>
    <row r="54" spans="1:13">
      <c r="A54" s="13" t="s">
        <v>235</v>
      </c>
      <c r="B54" s="14" t="s">
        <v>66</v>
      </c>
      <c r="C54" s="14" t="s">
        <v>81</v>
      </c>
      <c r="D54" s="14" t="s">
        <v>82</v>
      </c>
      <c r="E54" s="14" t="s">
        <v>83</v>
      </c>
      <c r="F54" s="14">
        <v>10</v>
      </c>
      <c r="G54" s="14" t="s">
        <v>28</v>
      </c>
      <c r="H54" s="14" t="s">
        <v>236</v>
      </c>
      <c r="I54" s="14" t="s">
        <v>237</v>
      </c>
      <c r="J54" s="14">
        <v>1</v>
      </c>
      <c r="K54" s="14" t="s">
        <v>86</v>
      </c>
      <c r="L54" s="14" t="s">
        <v>87</v>
      </c>
      <c r="M54" s="15" t="s">
        <v>88</v>
      </c>
    </row>
    <row r="55" spans="1:13">
      <c r="A55" s="13" t="s">
        <v>238</v>
      </c>
      <c r="B55" s="14" t="s">
        <v>55</v>
      </c>
      <c r="C55" s="14" t="s">
        <v>81</v>
      </c>
      <c r="D55" s="14" t="s">
        <v>239</v>
      </c>
      <c r="E55" s="14" t="s">
        <v>240</v>
      </c>
      <c r="F55" s="14">
        <v>1</v>
      </c>
      <c r="G55" s="14" t="s">
        <v>56</v>
      </c>
      <c r="H55" s="14" t="s">
        <v>241</v>
      </c>
      <c r="I55" s="14" t="s">
        <v>242</v>
      </c>
      <c r="J55" s="14">
        <v>1</v>
      </c>
      <c r="K55" s="14" t="s">
        <v>243</v>
      </c>
      <c r="L55" s="14" t="s">
        <v>87</v>
      </c>
      <c r="M55" s="15" t="s">
        <v>244</v>
      </c>
    </row>
    <row r="56" spans="1:13">
      <c r="A56" s="13" t="s">
        <v>245</v>
      </c>
      <c r="B56" s="14" t="s">
        <v>55</v>
      </c>
      <c r="C56" s="14" t="s">
        <v>81</v>
      </c>
      <c r="D56" s="14" t="s">
        <v>239</v>
      </c>
      <c r="E56" s="14" t="s">
        <v>240</v>
      </c>
      <c r="F56" s="14">
        <v>2</v>
      </c>
      <c r="G56" s="14" t="s">
        <v>56</v>
      </c>
      <c r="H56" s="14" t="s">
        <v>246</v>
      </c>
      <c r="I56" s="14" t="s">
        <v>247</v>
      </c>
      <c r="J56" s="14">
        <v>1</v>
      </c>
      <c r="K56" s="14" t="s">
        <v>243</v>
      </c>
      <c r="L56" s="14" t="s">
        <v>87</v>
      </c>
      <c r="M56" s="15" t="s">
        <v>244</v>
      </c>
    </row>
    <row r="57" spans="1:13">
      <c r="A57" s="13" t="s">
        <v>248</v>
      </c>
      <c r="B57" s="14" t="s">
        <v>55</v>
      </c>
      <c r="C57" s="14" t="s">
        <v>81</v>
      </c>
      <c r="D57" s="14" t="s">
        <v>239</v>
      </c>
      <c r="E57" s="14" t="s">
        <v>240</v>
      </c>
      <c r="F57" s="14">
        <v>3</v>
      </c>
      <c r="G57" s="14" t="s">
        <v>56</v>
      </c>
      <c r="H57" s="14" t="s">
        <v>249</v>
      </c>
      <c r="I57" s="14" t="s">
        <v>250</v>
      </c>
      <c r="J57" s="14">
        <v>1</v>
      </c>
      <c r="K57" s="14" t="s">
        <v>243</v>
      </c>
      <c r="L57" s="14" t="s">
        <v>87</v>
      </c>
      <c r="M57" s="15" t="s">
        <v>244</v>
      </c>
    </row>
    <row r="58" spans="1:13">
      <c r="A58" s="13" t="s">
        <v>251</v>
      </c>
      <c r="B58" s="14" t="s">
        <v>55</v>
      </c>
      <c r="C58" s="14" t="s">
        <v>81</v>
      </c>
      <c r="D58" s="14" t="s">
        <v>239</v>
      </c>
      <c r="E58" s="14" t="s">
        <v>240</v>
      </c>
      <c r="F58" s="14">
        <v>4</v>
      </c>
      <c r="G58" s="14" t="s">
        <v>56</v>
      </c>
      <c r="H58" s="14" t="s">
        <v>252</v>
      </c>
      <c r="I58" s="14" t="s">
        <v>253</v>
      </c>
      <c r="J58" s="14">
        <v>1</v>
      </c>
      <c r="K58" s="14" t="s">
        <v>243</v>
      </c>
      <c r="L58" s="14" t="s">
        <v>87</v>
      </c>
      <c r="M58" s="15" t="s">
        <v>244</v>
      </c>
    </row>
    <row r="59" spans="1:13">
      <c r="A59" s="13" t="s">
        <v>254</v>
      </c>
      <c r="B59" s="14" t="s">
        <v>55</v>
      </c>
      <c r="C59" s="14" t="s">
        <v>81</v>
      </c>
      <c r="D59" s="14" t="s">
        <v>239</v>
      </c>
      <c r="E59" s="14" t="s">
        <v>240</v>
      </c>
      <c r="F59" s="14">
        <v>5</v>
      </c>
      <c r="G59" s="14" t="s">
        <v>56</v>
      </c>
      <c r="H59" s="14" t="s">
        <v>255</v>
      </c>
      <c r="I59" s="14" t="s">
        <v>256</v>
      </c>
      <c r="J59" s="14">
        <v>1</v>
      </c>
      <c r="K59" s="14" t="s">
        <v>243</v>
      </c>
      <c r="L59" s="14" t="s">
        <v>87</v>
      </c>
      <c r="M59" s="15" t="s">
        <v>244</v>
      </c>
    </row>
    <row r="60" spans="1:13">
      <c r="A60" s="13" t="s">
        <v>257</v>
      </c>
      <c r="B60" s="14" t="s">
        <v>55</v>
      </c>
      <c r="C60" s="14" t="s">
        <v>81</v>
      </c>
      <c r="D60" s="14" t="s">
        <v>239</v>
      </c>
      <c r="E60" s="14" t="s">
        <v>240</v>
      </c>
      <c r="F60" s="14">
        <v>6</v>
      </c>
      <c r="G60" s="14" t="s">
        <v>56</v>
      </c>
      <c r="H60" s="14" t="s">
        <v>258</v>
      </c>
      <c r="I60" s="14" t="s">
        <v>259</v>
      </c>
      <c r="J60" s="14">
        <v>1</v>
      </c>
      <c r="K60" s="14" t="s">
        <v>243</v>
      </c>
      <c r="L60" s="14" t="s">
        <v>87</v>
      </c>
      <c r="M60" s="15" t="s">
        <v>244</v>
      </c>
    </row>
    <row r="61" spans="1:13">
      <c r="A61" s="13" t="s">
        <v>260</v>
      </c>
      <c r="B61" s="14" t="s">
        <v>55</v>
      </c>
      <c r="C61" s="14" t="s">
        <v>81</v>
      </c>
      <c r="D61" s="14" t="s">
        <v>239</v>
      </c>
      <c r="E61" s="14" t="s">
        <v>240</v>
      </c>
      <c r="F61" s="14">
        <v>7</v>
      </c>
      <c r="G61" s="14" t="s">
        <v>56</v>
      </c>
      <c r="H61" s="14" t="s">
        <v>261</v>
      </c>
      <c r="I61" s="14" t="s">
        <v>262</v>
      </c>
      <c r="J61" s="14">
        <v>1</v>
      </c>
      <c r="K61" s="14" t="s">
        <v>243</v>
      </c>
      <c r="L61" s="14" t="s">
        <v>87</v>
      </c>
      <c r="M61" s="15" t="s">
        <v>244</v>
      </c>
    </row>
    <row r="62" spans="1:13">
      <c r="A62" s="13" t="s">
        <v>263</v>
      </c>
      <c r="B62" s="14" t="s">
        <v>55</v>
      </c>
      <c r="C62" s="14" t="s">
        <v>81</v>
      </c>
      <c r="D62" s="14" t="s">
        <v>239</v>
      </c>
      <c r="E62" s="14" t="s">
        <v>240</v>
      </c>
      <c r="F62" s="14">
        <v>8</v>
      </c>
      <c r="G62" s="14" t="s">
        <v>56</v>
      </c>
      <c r="H62" s="14" t="s">
        <v>264</v>
      </c>
      <c r="I62" s="14" t="s">
        <v>265</v>
      </c>
      <c r="J62" s="14">
        <v>1</v>
      </c>
      <c r="K62" s="14" t="s">
        <v>243</v>
      </c>
      <c r="L62" s="14" t="s">
        <v>87</v>
      </c>
      <c r="M62" s="15" t="s">
        <v>244</v>
      </c>
    </row>
    <row r="63" spans="1:13">
      <c r="A63" s="13" t="s">
        <v>266</v>
      </c>
      <c r="B63" s="14" t="s">
        <v>55</v>
      </c>
      <c r="C63" s="14" t="s">
        <v>81</v>
      </c>
      <c r="D63" s="14" t="s">
        <v>239</v>
      </c>
      <c r="E63" s="14" t="s">
        <v>240</v>
      </c>
      <c r="F63" s="14">
        <v>9</v>
      </c>
      <c r="G63" s="14" t="s">
        <v>56</v>
      </c>
      <c r="H63" s="14" t="s">
        <v>267</v>
      </c>
      <c r="I63" s="14" t="s">
        <v>268</v>
      </c>
      <c r="J63" s="14">
        <v>1</v>
      </c>
      <c r="K63" s="14" t="s">
        <v>243</v>
      </c>
      <c r="L63" s="14" t="s">
        <v>87</v>
      </c>
      <c r="M63" s="15" t="s">
        <v>244</v>
      </c>
    </row>
    <row r="64" spans="1:13">
      <c r="A64" s="13" t="s">
        <v>269</v>
      </c>
      <c r="B64" s="14" t="s">
        <v>55</v>
      </c>
      <c r="C64" s="14" t="s">
        <v>81</v>
      </c>
      <c r="D64" s="14" t="s">
        <v>239</v>
      </c>
      <c r="E64" s="14" t="s">
        <v>240</v>
      </c>
      <c r="F64" s="14">
        <v>10</v>
      </c>
      <c r="G64" s="14" t="s">
        <v>56</v>
      </c>
      <c r="H64" s="14" t="s">
        <v>270</v>
      </c>
      <c r="I64" s="14" t="s">
        <v>271</v>
      </c>
      <c r="J64" s="14">
        <v>1</v>
      </c>
      <c r="K64" s="14" t="s">
        <v>243</v>
      </c>
      <c r="L64" s="14" t="s">
        <v>87</v>
      </c>
      <c r="M64" s="15" t="s">
        <v>244</v>
      </c>
    </row>
    <row r="65" spans="1:13">
      <c r="A65" s="13" t="s">
        <v>272</v>
      </c>
      <c r="B65" s="14" t="s">
        <v>60</v>
      </c>
      <c r="C65" s="14" t="s">
        <v>81</v>
      </c>
      <c r="D65" s="14" t="s">
        <v>239</v>
      </c>
      <c r="E65" s="14" t="s">
        <v>240</v>
      </c>
      <c r="F65" s="14">
        <v>1</v>
      </c>
      <c r="G65" s="14" t="s">
        <v>61</v>
      </c>
      <c r="H65" s="14" t="s">
        <v>273</v>
      </c>
      <c r="I65" s="14" t="s">
        <v>274</v>
      </c>
      <c r="J65" s="14">
        <v>1</v>
      </c>
      <c r="K65" s="14" t="s">
        <v>243</v>
      </c>
      <c r="L65" s="14" t="s">
        <v>87</v>
      </c>
      <c r="M65" s="15" t="s">
        <v>244</v>
      </c>
    </row>
    <row r="66" spans="1:13">
      <c r="A66" s="13" t="s">
        <v>275</v>
      </c>
      <c r="B66" s="14" t="s">
        <v>60</v>
      </c>
      <c r="C66" s="14" t="s">
        <v>81</v>
      </c>
      <c r="D66" s="14" t="s">
        <v>239</v>
      </c>
      <c r="E66" s="14" t="s">
        <v>240</v>
      </c>
      <c r="F66" s="14">
        <v>2</v>
      </c>
      <c r="G66" s="14" t="s">
        <v>61</v>
      </c>
      <c r="H66" s="14" t="s">
        <v>276</v>
      </c>
      <c r="I66" s="14" t="s">
        <v>277</v>
      </c>
      <c r="J66" s="14">
        <v>1</v>
      </c>
      <c r="K66" s="14" t="s">
        <v>243</v>
      </c>
      <c r="L66" s="14" t="s">
        <v>87</v>
      </c>
      <c r="M66" s="15" t="s">
        <v>244</v>
      </c>
    </row>
    <row r="67" spans="1:13">
      <c r="A67" s="13" t="s">
        <v>278</v>
      </c>
      <c r="B67" s="14" t="s">
        <v>60</v>
      </c>
      <c r="C67" s="14" t="s">
        <v>81</v>
      </c>
      <c r="D67" s="14" t="s">
        <v>239</v>
      </c>
      <c r="E67" s="14" t="s">
        <v>240</v>
      </c>
      <c r="F67" s="14">
        <v>3</v>
      </c>
      <c r="G67" s="14" t="s">
        <v>61</v>
      </c>
      <c r="H67" s="14" t="s">
        <v>279</v>
      </c>
      <c r="I67" s="14" t="s">
        <v>280</v>
      </c>
      <c r="J67" s="14">
        <v>1</v>
      </c>
      <c r="K67" s="14" t="s">
        <v>243</v>
      </c>
      <c r="L67" s="14" t="s">
        <v>87</v>
      </c>
      <c r="M67" s="15" t="s">
        <v>244</v>
      </c>
    </row>
    <row r="68" spans="1:13">
      <c r="A68" s="13" t="s">
        <v>281</v>
      </c>
      <c r="B68" s="14" t="s">
        <v>60</v>
      </c>
      <c r="C68" s="14" t="s">
        <v>81</v>
      </c>
      <c r="D68" s="14" t="s">
        <v>239</v>
      </c>
      <c r="E68" s="14" t="s">
        <v>240</v>
      </c>
      <c r="F68" s="14">
        <v>4</v>
      </c>
      <c r="G68" s="14" t="s">
        <v>61</v>
      </c>
      <c r="H68" s="14" t="s">
        <v>282</v>
      </c>
      <c r="I68" s="14" t="s">
        <v>283</v>
      </c>
      <c r="J68" s="14">
        <v>1</v>
      </c>
      <c r="K68" s="14" t="s">
        <v>243</v>
      </c>
      <c r="L68" s="14" t="s">
        <v>87</v>
      </c>
      <c r="M68" s="15" t="s">
        <v>244</v>
      </c>
    </row>
    <row r="69" spans="1:13">
      <c r="A69" s="13" t="s">
        <v>284</v>
      </c>
      <c r="B69" s="14" t="s">
        <v>60</v>
      </c>
      <c r="C69" s="14" t="s">
        <v>81</v>
      </c>
      <c r="D69" s="14" t="s">
        <v>239</v>
      </c>
      <c r="E69" s="14" t="s">
        <v>240</v>
      </c>
      <c r="F69" s="14">
        <v>5</v>
      </c>
      <c r="G69" s="14" t="s">
        <v>61</v>
      </c>
      <c r="H69" s="14" t="s">
        <v>285</v>
      </c>
      <c r="I69" s="14" t="s">
        <v>286</v>
      </c>
      <c r="J69" s="14">
        <v>1</v>
      </c>
      <c r="K69" s="14" t="s">
        <v>243</v>
      </c>
      <c r="L69" s="14" t="s">
        <v>87</v>
      </c>
      <c r="M69" s="15" t="s">
        <v>244</v>
      </c>
    </row>
    <row r="70" spans="1:13">
      <c r="A70" s="13" t="s">
        <v>287</v>
      </c>
      <c r="B70" s="14" t="s">
        <v>60</v>
      </c>
      <c r="C70" s="14" t="s">
        <v>81</v>
      </c>
      <c r="D70" s="14" t="s">
        <v>239</v>
      </c>
      <c r="E70" s="14" t="s">
        <v>240</v>
      </c>
      <c r="F70" s="14">
        <v>6</v>
      </c>
      <c r="G70" s="14" t="s">
        <v>61</v>
      </c>
      <c r="H70" s="14" t="s">
        <v>288</v>
      </c>
      <c r="I70" s="14" t="s">
        <v>289</v>
      </c>
      <c r="J70" s="14">
        <v>1</v>
      </c>
      <c r="K70" s="14" t="s">
        <v>243</v>
      </c>
      <c r="L70" s="14" t="s">
        <v>87</v>
      </c>
      <c r="M70" s="15" t="s">
        <v>244</v>
      </c>
    </row>
    <row r="71" spans="1:13">
      <c r="A71" s="13" t="s">
        <v>290</v>
      </c>
      <c r="B71" s="14" t="s">
        <v>60</v>
      </c>
      <c r="C71" s="14" t="s">
        <v>81</v>
      </c>
      <c r="D71" s="14" t="s">
        <v>239</v>
      </c>
      <c r="E71" s="14" t="s">
        <v>240</v>
      </c>
      <c r="F71" s="14">
        <v>7</v>
      </c>
      <c r="G71" s="14" t="s">
        <v>61</v>
      </c>
      <c r="H71" s="14" t="s">
        <v>291</v>
      </c>
      <c r="I71" s="14" t="s">
        <v>292</v>
      </c>
      <c r="J71" s="14">
        <v>1</v>
      </c>
      <c r="K71" s="14" t="s">
        <v>243</v>
      </c>
      <c r="L71" s="14" t="s">
        <v>87</v>
      </c>
      <c r="M71" s="15" t="s">
        <v>244</v>
      </c>
    </row>
    <row r="72" spans="1:13">
      <c r="A72" s="13" t="s">
        <v>293</v>
      </c>
      <c r="B72" s="14" t="s">
        <v>60</v>
      </c>
      <c r="C72" s="14" t="s">
        <v>81</v>
      </c>
      <c r="D72" s="14" t="s">
        <v>239</v>
      </c>
      <c r="E72" s="14" t="s">
        <v>240</v>
      </c>
      <c r="F72" s="14">
        <v>8</v>
      </c>
      <c r="G72" s="14" t="s">
        <v>61</v>
      </c>
      <c r="H72" s="14" t="s">
        <v>294</v>
      </c>
      <c r="I72" s="14" t="s">
        <v>295</v>
      </c>
      <c r="J72" s="14">
        <v>1</v>
      </c>
      <c r="K72" s="14" t="s">
        <v>243</v>
      </c>
      <c r="L72" s="14" t="s">
        <v>87</v>
      </c>
      <c r="M72" s="15" t="s">
        <v>244</v>
      </c>
    </row>
    <row r="73" spans="1:13">
      <c r="A73" s="13" t="s">
        <v>296</v>
      </c>
      <c r="B73" s="14" t="s">
        <v>60</v>
      </c>
      <c r="C73" s="14" t="s">
        <v>81</v>
      </c>
      <c r="D73" s="14" t="s">
        <v>239</v>
      </c>
      <c r="E73" s="14" t="s">
        <v>240</v>
      </c>
      <c r="F73" s="14">
        <v>9</v>
      </c>
      <c r="G73" s="14" t="s">
        <v>61</v>
      </c>
      <c r="H73" s="14" t="s">
        <v>297</v>
      </c>
      <c r="I73" s="14" t="s">
        <v>298</v>
      </c>
      <c r="J73" s="14">
        <v>1</v>
      </c>
      <c r="K73" s="14" t="s">
        <v>243</v>
      </c>
      <c r="L73" s="14" t="s">
        <v>87</v>
      </c>
      <c r="M73" s="15" t="s">
        <v>244</v>
      </c>
    </row>
    <row r="74" spans="1:13">
      <c r="A74" s="13" t="s">
        <v>299</v>
      </c>
      <c r="B74" s="14" t="s">
        <v>60</v>
      </c>
      <c r="C74" s="14" t="s">
        <v>81</v>
      </c>
      <c r="D74" s="14" t="s">
        <v>239</v>
      </c>
      <c r="E74" s="14" t="s">
        <v>240</v>
      </c>
      <c r="F74" s="14">
        <v>10</v>
      </c>
      <c r="G74" s="14" t="s">
        <v>61</v>
      </c>
      <c r="H74" s="14" t="s">
        <v>300</v>
      </c>
      <c r="I74" s="14" t="s">
        <v>301</v>
      </c>
      <c r="J74" s="14">
        <v>1</v>
      </c>
      <c r="K74" s="14" t="s">
        <v>243</v>
      </c>
      <c r="L74" s="14" t="s">
        <v>87</v>
      </c>
      <c r="M74" s="15" t="s">
        <v>244</v>
      </c>
    </row>
    <row r="75" spans="1:13">
      <c r="A75" s="13" t="s">
        <v>302</v>
      </c>
      <c r="B75" s="14" t="s">
        <v>62</v>
      </c>
      <c r="C75" s="14" t="s">
        <v>81</v>
      </c>
      <c r="D75" s="14" t="s">
        <v>239</v>
      </c>
      <c r="E75" s="14" t="s">
        <v>240</v>
      </c>
      <c r="F75" s="14">
        <v>1</v>
      </c>
      <c r="G75" s="14" t="s">
        <v>63</v>
      </c>
      <c r="H75" s="14" t="s">
        <v>303</v>
      </c>
      <c r="I75" s="14" t="s">
        <v>304</v>
      </c>
      <c r="J75" s="14">
        <v>1</v>
      </c>
      <c r="K75" s="14" t="s">
        <v>243</v>
      </c>
      <c r="L75" s="14" t="s">
        <v>87</v>
      </c>
      <c r="M75" s="15" t="s">
        <v>244</v>
      </c>
    </row>
    <row r="76" spans="1:13">
      <c r="A76" s="13" t="s">
        <v>305</v>
      </c>
      <c r="B76" s="14" t="s">
        <v>62</v>
      </c>
      <c r="C76" s="14" t="s">
        <v>81</v>
      </c>
      <c r="D76" s="14" t="s">
        <v>239</v>
      </c>
      <c r="E76" s="14" t="s">
        <v>240</v>
      </c>
      <c r="F76" s="14">
        <v>2</v>
      </c>
      <c r="G76" s="14" t="s">
        <v>63</v>
      </c>
      <c r="H76" s="14" t="s">
        <v>306</v>
      </c>
      <c r="I76" s="14" t="s">
        <v>307</v>
      </c>
      <c r="J76" s="14">
        <v>1</v>
      </c>
      <c r="K76" s="14" t="s">
        <v>243</v>
      </c>
      <c r="L76" s="14" t="s">
        <v>87</v>
      </c>
      <c r="M76" s="15" t="s">
        <v>244</v>
      </c>
    </row>
    <row r="77" spans="1:13">
      <c r="A77" s="13" t="s">
        <v>308</v>
      </c>
      <c r="B77" s="14" t="s">
        <v>62</v>
      </c>
      <c r="C77" s="14" t="s">
        <v>81</v>
      </c>
      <c r="D77" s="14" t="s">
        <v>239</v>
      </c>
      <c r="E77" s="14" t="s">
        <v>240</v>
      </c>
      <c r="F77" s="14">
        <v>3</v>
      </c>
      <c r="G77" s="14" t="s">
        <v>63</v>
      </c>
      <c r="H77" s="14" t="s">
        <v>309</v>
      </c>
      <c r="I77" s="14" t="s">
        <v>310</v>
      </c>
      <c r="J77" s="14">
        <v>1</v>
      </c>
      <c r="K77" s="14" t="s">
        <v>243</v>
      </c>
      <c r="L77" s="14" t="s">
        <v>87</v>
      </c>
      <c r="M77" s="15" t="s">
        <v>244</v>
      </c>
    </row>
    <row r="78" spans="1:13">
      <c r="A78" s="13" t="s">
        <v>311</v>
      </c>
      <c r="B78" s="14" t="s">
        <v>62</v>
      </c>
      <c r="C78" s="14" t="s">
        <v>81</v>
      </c>
      <c r="D78" s="14" t="s">
        <v>239</v>
      </c>
      <c r="E78" s="14" t="s">
        <v>240</v>
      </c>
      <c r="F78" s="14">
        <v>4</v>
      </c>
      <c r="G78" s="14" t="s">
        <v>63</v>
      </c>
      <c r="H78" s="14" t="s">
        <v>312</v>
      </c>
      <c r="I78" s="14" t="s">
        <v>313</v>
      </c>
      <c r="J78" s="14">
        <v>1</v>
      </c>
      <c r="K78" s="14" t="s">
        <v>243</v>
      </c>
      <c r="L78" s="14" t="s">
        <v>87</v>
      </c>
      <c r="M78" s="15" t="s">
        <v>244</v>
      </c>
    </row>
    <row r="79" spans="1:13">
      <c r="A79" s="13" t="s">
        <v>314</v>
      </c>
      <c r="B79" s="14" t="s">
        <v>62</v>
      </c>
      <c r="C79" s="14" t="s">
        <v>81</v>
      </c>
      <c r="D79" s="14" t="s">
        <v>239</v>
      </c>
      <c r="E79" s="14" t="s">
        <v>240</v>
      </c>
      <c r="F79" s="14">
        <v>5</v>
      </c>
      <c r="G79" s="14" t="s">
        <v>63</v>
      </c>
      <c r="H79" s="14" t="s">
        <v>315</v>
      </c>
      <c r="I79" s="14" t="s">
        <v>316</v>
      </c>
      <c r="J79" s="14">
        <v>1</v>
      </c>
      <c r="K79" s="14" t="s">
        <v>243</v>
      </c>
      <c r="L79" s="14" t="s">
        <v>87</v>
      </c>
      <c r="M79" s="15" t="s">
        <v>244</v>
      </c>
    </row>
    <row r="80" spans="1:13">
      <c r="A80" s="13" t="s">
        <v>317</v>
      </c>
      <c r="B80" s="14" t="s">
        <v>62</v>
      </c>
      <c r="C80" s="14" t="s">
        <v>81</v>
      </c>
      <c r="D80" s="14" t="s">
        <v>239</v>
      </c>
      <c r="E80" s="14" t="s">
        <v>240</v>
      </c>
      <c r="F80" s="14">
        <v>6</v>
      </c>
      <c r="G80" s="14" t="s">
        <v>63</v>
      </c>
      <c r="H80" s="14" t="s">
        <v>318</v>
      </c>
      <c r="I80" s="14" t="s">
        <v>319</v>
      </c>
      <c r="J80" s="14">
        <v>1</v>
      </c>
      <c r="K80" s="14" t="s">
        <v>243</v>
      </c>
      <c r="L80" s="14" t="s">
        <v>87</v>
      </c>
      <c r="M80" s="15" t="s">
        <v>244</v>
      </c>
    </row>
    <row r="81" spans="1:13">
      <c r="A81" s="13" t="s">
        <v>320</v>
      </c>
      <c r="B81" s="14" t="s">
        <v>62</v>
      </c>
      <c r="C81" s="14" t="s">
        <v>81</v>
      </c>
      <c r="D81" s="14" t="s">
        <v>239</v>
      </c>
      <c r="E81" s="14" t="s">
        <v>240</v>
      </c>
      <c r="F81" s="14">
        <v>7</v>
      </c>
      <c r="G81" s="14" t="s">
        <v>63</v>
      </c>
      <c r="H81" s="14" t="s">
        <v>321</v>
      </c>
      <c r="I81" s="14" t="s">
        <v>322</v>
      </c>
      <c r="J81" s="14">
        <v>1</v>
      </c>
      <c r="K81" s="14" t="s">
        <v>243</v>
      </c>
      <c r="L81" s="14" t="s">
        <v>87</v>
      </c>
      <c r="M81" s="15" t="s">
        <v>244</v>
      </c>
    </row>
    <row r="82" spans="1:13">
      <c r="A82" s="13" t="s">
        <v>323</v>
      </c>
      <c r="B82" s="14" t="s">
        <v>62</v>
      </c>
      <c r="C82" s="14" t="s">
        <v>81</v>
      </c>
      <c r="D82" s="14" t="s">
        <v>239</v>
      </c>
      <c r="E82" s="14" t="s">
        <v>240</v>
      </c>
      <c r="F82" s="14">
        <v>8</v>
      </c>
      <c r="G82" s="14" t="s">
        <v>63</v>
      </c>
      <c r="H82" s="14" t="s">
        <v>324</v>
      </c>
      <c r="I82" s="14" t="s">
        <v>325</v>
      </c>
      <c r="J82" s="14">
        <v>1</v>
      </c>
      <c r="K82" s="14" t="s">
        <v>243</v>
      </c>
      <c r="L82" s="14" t="s">
        <v>87</v>
      </c>
      <c r="M82" s="15" t="s">
        <v>244</v>
      </c>
    </row>
    <row r="83" spans="1:13">
      <c r="A83" s="13" t="s">
        <v>326</v>
      </c>
      <c r="B83" s="14" t="s">
        <v>62</v>
      </c>
      <c r="C83" s="14" t="s">
        <v>81</v>
      </c>
      <c r="D83" s="14" t="s">
        <v>239</v>
      </c>
      <c r="E83" s="14" t="s">
        <v>240</v>
      </c>
      <c r="F83" s="14">
        <v>9</v>
      </c>
      <c r="G83" s="14" t="s">
        <v>63</v>
      </c>
      <c r="H83" s="14" t="s">
        <v>327</v>
      </c>
      <c r="I83" s="14" t="s">
        <v>328</v>
      </c>
      <c r="J83" s="14">
        <v>1</v>
      </c>
      <c r="K83" s="14" t="s">
        <v>243</v>
      </c>
      <c r="L83" s="14" t="s">
        <v>87</v>
      </c>
      <c r="M83" s="15" t="s">
        <v>244</v>
      </c>
    </row>
    <row r="84" spans="1:13">
      <c r="A84" s="13" t="s">
        <v>329</v>
      </c>
      <c r="B84" s="14" t="s">
        <v>62</v>
      </c>
      <c r="C84" s="14" t="s">
        <v>81</v>
      </c>
      <c r="D84" s="14" t="s">
        <v>239</v>
      </c>
      <c r="E84" s="14" t="s">
        <v>240</v>
      </c>
      <c r="F84" s="14">
        <v>10</v>
      </c>
      <c r="G84" s="14" t="s">
        <v>63</v>
      </c>
      <c r="H84" s="14" t="s">
        <v>330</v>
      </c>
      <c r="I84" s="14" t="s">
        <v>331</v>
      </c>
      <c r="J84" s="14">
        <v>1</v>
      </c>
      <c r="K84" s="14" t="s">
        <v>243</v>
      </c>
      <c r="L84" s="14" t="s">
        <v>87</v>
      </c>
      <c r="M84" s="15" t="s">
        <v>244</v>
      </c>
    </row>
    <row r="85" spans="1:13">
      <c r="A85" s="13" t="s">
        <v>332</v>
      </c>
      <c r="B85" s="14" t="s">
        <v>64</v>
      </c>
      <c r="C85" s="14" t="s">
        <v>81</v>
      </c>
      <c r="D85" s="14" t="s">
        <v>239</v>
      </c>
      <c r="E85" s="14" t="s">
        <v>240</v>
      </c>
      <c r="F85" s="14">
        <v>1</v>
      </c>
      <c r="G85" s="14" t="s">
        <v>65</v>
      </c>
      <c r="H85" s="14" t="s">
        <v>333</v>
      </c>
      <c r="I85" s="14" t="s">
        <v>334</v>
      </c>
      <c r="J85" s="14">
        <v>1</v>
      </c>
      <c r="K85" s="14" t="s">
        <v>243</v>
      </c>
      <c r="L85" s="14" t="s">
        <v>87</v>
      </c>
      <c r="M85" s="15" t="s">
        <v>244</v>
      </c>
    </row>
    <row r="86" spans="1:13">
      <c r="A86" s="13" t="s">
        <v>335</v>
      </c>
      <c r="B86" s="14" t="s">
        <v>64</v>
      </c>
      <c r="C86" s="14" t="s">
        <v>81</v>
      </c>
      <c r="D86" s="14" t="s">
        <v>239</v>
      </c>
      <c r="E86" s="14" t="s">
        <v>240</v>
      </c>
      <c r="F86" s="14">
        <v>2</v>
      </c>
      <c r="G86" s="14" t="s">
        <v>65</v>
      </c>
      <c r="H86" s="14" t="s">
        <v>336</v>
      </c>
      <c r="I86" s="14" t="s">
        <v>337</v>
      </c>
      <c r="J86" s="14">
        <v>1</v>
      </c>
      <c r="K86" s="14" t="s">
        <v>243</v>
      </c>
      <c r="L86" s="14" t="s">
        <v>87</v>
      </c>
      <c r="M86" s="15" t="s">
        <v>244</v>
      </c>
    </row>
    <row r="87" spans="1:13">
      <c r="A87" s="13" t="s">
        <v>338</v>
      </c>
      <c r="B87" s="14" t="s">
        <v>64</v>
      </c>
      <c r="C87" s="14" t="s">
        <v>81</v>
      </c>
      <c r="D87" s="14" t="s">
        <v>239</v>
      </c>
      <c r="E87" s="14" t="s">
        <v>240</v>
      </c>
      <c r="F87" s="14">
        <v>3</v>
      </c>
      <c r="G87" s="14" t="s">
        <v>65</v>
      </c>
      <c r="H87" s="14" t="s">
        <v>339</v>
      </c>
      <c r="I87" s="14" t="s">
        <v>340</v>
      </c>
      <c r="J87" s="14">
        <v>1</v>
      </c>
      <c r="K87" s="14" t="s">
        <v>243</v>
      </c>
      <c r="L87" s="14" t="s">
        <v>87</v>
      </c>
      <c r="M87" s="15" t="s">
        <v>244</v>
      </c>
    </row>
    <row r="88" spans="1:13">
      <c r="A88" s="13" t="s">
        <v>341</v>
      </c>
      <c r="B88" s="14" t="s">
        <v>64</v>
      </c>
      <c r="C88" s="14" t="s">
        <v>81</v>
      </c>
      <c r="D88" s="14" t="s">
        <v>239</v>
      </c>
      <c r="E88" s="14" t="s">
        <v>240</v>
      </c>
      <c r="F88" s="14">
        <v>4</v>
      </c>
      <c r="G88" s="14" t="s">
        <v>65</v>
      </c>
      <c r="H88" s="14" t="s">
        <v>342</v>
      </c>
      <c r="I88" s="14" t="s">
        <v>343</v>
      </c>
      <c r="J88" s="14">
        <v>1</v>
      </c>
      <c r="K88" s="14" t="s">
        <v>243</v>
      </c>
      <c r="L88" s="14" t="s">
        <v>87</v>
      </c>
      <c r="M88" s="15" t="s">
        <v>244</v>
      </c>
    </row>
    <row r="89" spans="1:13">
      <c r="A89" s="13" t="s">
        <v>344</v>
      </c>
      <c r="B89" s="14" t="s">
        <v>64</v>
      </c>
      <c r="C89" s="14" t="s">
        <v>81</v>
      </c>
      <c r="D89" s="14" t="s">
        <v>239</v>
      </c>
      <c r="E89" s="14" t="s">
        <v>240</v>
      </c>
      <c r="F89" s="14">
        <v>5</v>
      </c>
      <c r="G89" s="14" t="s">
        <v>65</v>
      </c>
      <c r="H89" s="14" t="s">
        <v>345</v>
      </c>
      <c r="I89" s="14" t="s">
        <v>346</v>
      </c>
      <c r="J89" s="14">
        <v>1</v>
      </c>
      <c r="K89" s="14" t="s">
        <v>243</v>
      </c>
      <c r="L89" s="14" t="s">
        <v>87</v>
      </c>
      <c r="M89" s="15" t="s">
        <v>244</v>
      </c>
    </row>
    <row r="90" spans="1:13">
      <c r="A90" s="13" t="s">
        <v>347</v>
      </c>
      <c r="B90" s="14" t="s">
        <v>64</v>
      </c>
      <c r="C90" s="14" t="s">
        <v>81</v>
      </c>
      <c r="D90" s="14" t="s">
        <v>239</v>
      </c>
      <c r="E90" s="14" t="s">
        <v>240</v>
      </c>
      <c r="F90" s="14">
        <v>6</v>
      </c>
      <c r="G90" s="14" t="s">
        <v>65</v>
      </c>
      <c r="H90" s="14" t="s">
        <v>348</v>
      </c>
      <c r="I90" s="14" t="s">
        <v>349</v>
      </c>
      <c r="J90" s="14">
        <v>1</v>
      </c>
      <c r="K90" s="14" t="s">
        <v>243</v>
      </c>
      <c r="L90" s="14" t="s">
        <v>87</v>
      </c>
      <c r="M90" s="15" t="s">
        <v>244</v>
      </c>
    </row>
    <row r="91" spans="1:13">
      <c r="A91" s="13" t="s">
        <v>350</v>
      </c>
      <c r="B91" s="14" t="s">
        <v>64</v>
      </c>
      <c r="C91" s="14" t="s">
        <v>81</v>
      </c>
      <c r="D91" s="14" t="s">
        <v>239</v>
      </c>
      <c r="E91" s="14" t="s">
        <v>240</v>
      </c>
      <c r="F91" s="14">
        <v>7</v>
      </c>
      <c r="G91" s="14" t="s">
        <v>65</v>
      </c>
      <c r="H91" s="14" t="s">
        <v>351</v>
      </c>
      <c r="I91" s="14" t="s">
        <v>352</v>
      </c>
      <c r="J91" s="14">
        <v>1</v>
      </c>
      <c r="K91" s="14" t="s">
        <v>243</v>
      </c>
      <c r="L91" s="14" t="s">
        <v>87</v>
      </c>
      <c r="M91" s="15" t="s">
        <v>244</v>
      </c>
    </row>
    <row r="92" spans="1:13">
      <c r="A92" s="13" t="s">
        <v>353</v>
      </c>
      <c r="B92" s="14" t="s">
        <v>64</v>
      </c>
      <c r="C92" s="14" t="s">
        <v>81</v>
      </c>
      <c r="D92" s="14" t="s">
        <v>239</v>
      </c>
      <c r="E92" s="14" t="s">
        <v>240</v>
      </c>
      <c r="F92" s="14">
        <v>8</v>
      </c>
      <c r="G92" s="14" t="s">
        <v>65</v>
      </c>
      <c r="H92" s="14" t="s">
        <v>354</v>
      </c>
      <c r="I92" s="14" t="s">
        <v>355</v>
      </c>
      <c r="J92" s="14">
        <v>1</v>
      </c>
      <c r="K92" s="14" t="s">
        <v>243</v>
      </c>
      <c r="L92" s="14" t="s">
        <v>87</v>
      </c>
      <c r="M92" s="15" t="s">
        <v>244</v>
      </c>
    </row>
    <row r="93" spans="1:13">
      <c r="A93" s="13" t="s">
        <v>356</v>
      </c>
      <c r="B93" s="14" t="s">
        <v>64</v>
      </c>
      <c r="C93" s="14" t="s">
        <v>81</v>
      </c>
      <c r="D93" s="14" t="s">
        <v>239</v>
      </c>
      <c r="E93" s="14" t="s">
        <v>240</v>
      </c>
      <c r="F93" s="14">
        <v>9</v>
      </c>
      <c r="G93" s="14" t="s">
        <v>65</v>
      </c>
      <c r="H93" s="14" t="s">
        <v>357</v>
      </c>
      <c r="I93" s="14" t="s">
        <v>358</v>
      </c>
      <c r="J93" s="14">
        <v>1</v>
      </c>
      <c r="K93" s="14" t="s">
        <v>243</v>
      </c>
      <c r="L93" s="14" t="s">
        <v>87</v>
      </c>
      <c r="M93" s="15" t="s">
        <v>244</v>
      </c>
    </row>
    <row r="94" spans="1:13">
      <c r="A94" s="13" t="s">
        <v>359</v>
      </c>
      <c r="B94" s="14" t="s">
        <v>64</v>
      </c>
      <c r="C94" s="14" t="s">
        <v>81</v>
      </c>
      <c r="D94" s="14" t="s">
        <v>239</v>
      </c>
      <c r="E94" s="14" t="s">
        <v>240</v>
      </c>
      <c r="F94" s="14">
        <v>10</v>
      </c>
      <c r="G94" s="14" t="s">
        <v>65</v>
      </c>
      <c r="H94" s="14" t="s">
        <v>360</v>
      </c>
      <c r="I94" s="14" t="s">
        <v>361</v>
      </c>
      <c r="J94" s="14">
        <v>1</v>
      </c>
      <c r="K94" s="14" t="s">
        <v>243</v>
      </c>
      <c r="L94" s="14" t="s">
        <v>87</v>
      </c>
      <c r="M94" s="15" t="s">
        <v>244</v>
      </c>
    </row>
    <row r="95" spans="1:13">
      <c r="A95" s="13" t="s">
        <v>362</v>
      </c>
      <c r="B95" s="14" t="s">
        <v>66</v>
      </c>
      <c r="C95" s="14" t="s">
        <v>81</v>
      </c>
      <c r="D95" s="14" t="s">
        <v>239</v>
      </c>
      <c r="E95" s="14" t="s">
        <v>240</v>
      </c>
      <c r="F95" s="14">
        <v>1</v>
      </c>
      <c r="G95" s="14" t="s">
        <v>67</v>
      </c>
      <c r="H95" s="14" t="s">
        <v>363</v>
      </c>
      <c r="I95" s="14" t="s">
        <v>364</v>
      </c>
      <c r="J95" s="14">
        <v>1</v>
      </c>
      <c r="K95" s="14" t="s">
        <v>243</v>
      </c>
      <c r="L95" s="14" t="s">
        <v>87</v>
      </c>
      <c r="M95" s="15" t="s">
        <v>244</v>
      </c>
    </row>
    <row r="96" spans="1:13">
      <c r="A96" s="13" t="s">
        <v>365</v>
      </c>
      <c r="B96" s="14" t="s">
        <v>66</v>
      </c>
      <c r="C96" s="14" t="s">
        <v>81</v>
      </c>
      <c r="D96" s="14" t="s">
        <v>239</v>
      </c>
      <c r="E96" s="14" t="s">
        <v>240</v>
      </c>
      <c r="F96" s="14">
        <v>2</v>
      </c>
      <c r="G96" s="14" t="s">
        <v>67</v>
      </c>
      <c r="H96" s="14" t="s">
        <v>366</v>
      </c>
      <c r="I96" s="14" t="s">
        <v>367</v>
      </c>
      <c r="J96" s="14">
        <v>1</v>
      </c>
      <c r="K96" s="14" t="s">
        <v>243</v>
      </c>
      <c r="L96" s="14" t="s">
        <v>87</v>
      </c>
      <c r="M96" s="15" t="s">
        <v>244</v>
      </c>
    </row>
    <row r="97" spans="1:13">
      <c r="A97" s="13" t="s">
        <v>368</v>
      </c>
      <c r="B97" s="14" t="s">
        <v>66</v>
      </c>
      <c r="C97" s="14" t="s">
        <v>81</v>
      </c>
      <c r="D97" s="14" t="s">
        <v>239</v>
      </c>
      <c r="E97" s="14" t="s">
        <v>240</v>
      </c>
      <c r="F97" s="14">
        <v>3</v>
      </c>
      <c r="G97" s="14" t="s">
        <v>67</v>
      </c>
      <c r="H97" s="14" t="s">
        <v>369</v>
      </c>
      <c r="I97" s="14" t="s">
        <v>370</v>
      </c>
      <c r="J97" s="14">
        <v>1</v>
      </c>
      <c r="K97" s="14" t="s">
        <v>243</v>
      </c>
      <c r="L97" s="14" t="s">
        <v>87</v>
      </c>
      <c r="M97" s="15" t="s">
        <v>244</v>
      </c>
    </row>
    <row r="98" spans="1:13">
      <c r="A98" s="13" t="s">
        <v>371</v>
      </c>
      <c r="B98" s="14" t="s">
        <v>66</v>
      </c>
      <c r="C98" s="14" t="s">
        <v>81</v>
      </c>
      <c r="D98" s="14" t="s">
        <v>239</v>
      </c>
      <c r="E98" s="14" t="s">
        <v>240</v>
      </c>
      <c r="F98" s="14">
        <v>4</v>
      </c>
      <c r="G98" s="14" t="s">
        <v>67</v>
      </c>
      <c r="H98" s="14" t="s">
        <v>372</v>
      </c>
      <c r="I98" s="14" t="s">
        <v>373</v>
      </c>
      <c r="J98" s="14">
        <v>1</v>
      </c>
      <c r="K98" s="14" t="s">
        <v>243</v>
      </c>
      <c r="L98" s="14" t="s">
        <v>87</v>
      </c>
      <c r="M98" s="15" t="s">
        <v>244</v>
      </c>
    </row>
    <row r="99" spans="1:13">
      <c r="A99" s="13" t="s">
        <v>374</v>
      </c>
      <c r="B99" s="14" t="s">
        <v>66</v>
      </c>
      <c r="C99" s="14" t="s">
        <v>81</v>
      </c>
      <c r="D99" s="14" t="s">
        <v>239</v>
      </c>
      <c r="E99" s="14" t="s">
        <v>240</v>
      </c>
      <c r="F99" s="14">
        <v>5</v>
      </c>
      <c r="G99" s="14" t="s">
        <v>67</v>
      </c>
      <c r="H99" s="14" t="s">
        <v>375</v>
      </c>
      <c r="I99" s="14" t="s">
        <v>376</v>
      </c>
      <c r="J99" s="14">
        <v>1</v>
      </c>
      <c r="K99" s="14" t="s">
        <v>243</v>
      </c>
      <c r="L99" s="14" t="s">
        <v>87</v>
      </c>
      <c r="M99" s="15" t="s">
        <v>244</v>
      </c>
    </row>
    <row r="100" spans="1:13">
      <c r="A100" s="13" t="s">
        <v>377</v>
      </c>
      <c r="B100" s="14" t="s">
        <v>66</v>
      </c>
      <c r="C100" s="14" t="s">
        <v>81</v>
      </c>
      <c r="D100" s="14" t="s">
        <v>239</v>
      </c>
      <c r="E100" s="14" t="s">
        <v>240</v>
      </c>
      <c r="F100" s="14">
        <v>6</v>
      </c>
      <c r="G100" s="14" t="s">
        <v>67</v>
      </c>
      <c r="H100" s="14" t="s">
        <v>378</v>
      </c>
      <c r="I100" s="14" t="s">
        <v>379</v>
      </c>
      <c r="J100" s="14">
        <v>1</v>
      </c>
      <c r="K100" s="14" t="s">
        <v>243</v>
      </c>
      <c r="L100" s="14" t="s">
        <v>87</v>
      </c>
      <c r="M100" s="15" t="s">
        <v>244</v>
      </c>
    </row>
    <row r="101" spans="1:13">
      <c r="A101" s="13" t="s">
        <v>380</v>
      </c>
      <c r="B101" s="14" t="s">
        <v>66</v>
      </c>
      <c r="C101" s="14" t="s">
        <v>81</v>
      </c>
      <c r="D101" s="14" t="s">
        <v>239</v>
      </c>
      <c r="E101" s="14" t="s">
        <v>240</v>
      </c>
      <c r="F101" s="14">
        <v>7</v>
      </c>
      <c r="G101" s="14" t="s">
        <v>67</v>
      </c>
      <c r="H101" s="14" t="s">
        <v>381</v>
      </c>
      <c r="I101" s="14" t="s">
        <v>382</v>
      </c>
      <c r="J101" s="14">
        <v>1</v>
      </c>
      <c r="K101" s="14" t="s">
        <v>243</v>
      </c>
      <c r="L101" s="14" t="s">
        <v>87</v>
      </c>
      <c r="M101" s="15" t="s">
        <v>244</v>
      </c>
    </row>
    <row r="102" spans="1:13">
      <c r="A102" s="13" t="s">
        <v>383</v>
      </c>
      <c r="B102" s="14" t="s">
        <v>66</v>
      </c>
      <c r="C102" s="14" t="s">
        <v>81</v>
      </c>
      <c r="D102" s="14" t="s">
        <v>239</v>
      </c>
      <c r="E102" s="14" t="s">
        <v>240</v>
      </c>
      <c r="F102" s="14">
        <v>8</v>
      </c>
      <c r="G102" s="14" t="s">
        <v>67</v>
      </c>
      <c r="H102" s="14" t="s">
        <v>384</v>
      </c>
      <c r="I102" s="14" t="s">
        <v>385</v>
      </c>
      <c r="J102" s="14">
        <v>1</v>
      </c>
      <c r="K102" s="14" t="s">
        <v>243</v>
      </c>
      <c r="L102" s="14" t="s">
        <v>87</v>
      </c>
      <c r="M102" s="15" t="s">
        <v>244</v>
      </c>
    </row>
    <row r="103" spans="1:13">
      <c r="A103" s="13" t="s">
        <v>386</v>
      </c>
      <c r="B103" s="14" t="s">
        <v>66</v>
      </c>
      <c r="C103" s="14" t="s">
        <v>81</v>
      </c>
      <c r="D103" s="14" t="s">
        <v>239</v>
      </c>
      <c r="E103" s="14" t="s">
        <v>240</v>
      </c>
      <c r="F103" s="14">
        <v>9</v>
      </c>
      <c r="G103" s="14" t="s">
        <v>67</v>
      </c>
      <c r="H103" s="14" t="s">
        <v>387</v>
      </c>
      <c r="I103" s="14" t="s">
        <v>388</v>
      </c>
      <c r="J103" s="14">
        <v>1</v>
      </c>
      <c r="K103" s="14" t="s">
        <v>243</v>
      </c>
      <c r="L103" s="14" t="s">
        <v>87</v>
      </c>
      <c r="M103" s="15" t="s">
        <v>244</v>
      </c>
    </row>
    <row r="104" spans="1:13">
      <c r="A104" s="13" t="s">
        <v>389</v>
      </c>
      <c r="B104" s="14" t="s">
        <v>66</v>
      </c>
      <c r="C104" s="14" t="s">
        <v>81</v>
      </c>
      <c r="D104" s="14" t="s">
        <v>239</v>
      </c>
      <c r="E104" s="14" t="s">
        <v>240</v>
      </c>
      <c r="F104" s="14">
        <v>10</v>
      </c>
      <c r="G104" s="14" t="s">
        <v>67</v>
      </c>
      <c r="H104" s="14" t="s">
        <v>390</v>
      </c>
      <c r="I104" s="14" t="s">
        <v>391</v>
      </c>
      <c r="J104" s="14">
        <v>1</v>
      </c>
      <c r="K104" s="14" t="s">
        <v>243</v>
      </c>
      <c r="L104" s="14" t="s">
        <v>87</v>
      </c>
      <c r="M104" s="15" t="s">
        <v>244</v>
      </c>
    </row>
    <row r="105" spans="1:13">
      <c r="A105" s="13" t="s">
        <v>392</v>
      </c>
      <c r="B105" s="14" t="s">
        <v>55</v>
      </c>
      <c r="C105" s="14" t="s">
        <v>81</v>
      </c>
      <c r="D105" s="14" t="s">
        <v>393</v>
      </c>
      <c r="E105" s="14" t="s">
        <v>394</v>
      </c>
      <c r="F105" s="14">
        <v>1</v>
      </c>
      <c r="G105" s="14" t="s">
        <v>395</v>
      </c>
      <c r="H105" s="14" t="s">
        <v>396</v>
      </c>
      <c r="I105" s="14" t="s">
        <v>397</v>
      </c>
      <c r="J105" s="14">
        <v>5</v>
      </c>
      <c r="K105" s="14" t="s">
        <v>243</v>
      </c>
      <c r="L105" s="14" t="s">
        <v>398</v>
      </c>
      <c r="M105" s="15" t="s">
        <v>399</v>
      </c>
    </row>
    <row r="106" spans="1:13">
      <c r="A106" s="13" t="s">
        <v>400</v>
      </c>
      <c r="B106" s="14" t="s">
        <v>55</v>
      </c>
      <c r="C106" s="14" t="s">
        <v>81</v>
      </c>
      <c r="D106" s="14" t="s">
        <v>393</v>
      </c>
      <c r="E106" s="14" t="s">
        <v>394</v>
      </c>
      <c r="F106" s="14">
        <v>2</v>
      </c>
      <c r="G106" s="14" t="s">
        <v>395</v>
      </c>
      <c r="H106" s="14" t="s">
        <v>396</v>
      </c>
      <c r="I106" s="14" t="s">
        <v>401</v>
      </c>
      <c r="J106" s="14">
        <v>5</v>
      </c>
      <c r="K106" s="14" t="s">
        <v>243</v>
      </c>
      <c r="L106" s="14" t="s">
        <v>398</v>
      </c>
      <c r="M106" s="15" t="s">
        <v>399</v>
      </c>
    </row>
    <row r="107" spans="1:13">
      <c r="A107" s="13" t="s">
        <v>402</v>
      </c>
      <c r="B107" s="14" t="s">
        <v>55</v>
      </c>
      <c r="C107" s="14" t="s">
        <v>81</v>
      </c>
      <c r="D107" s="14" t="s">
        <v>393</v>
      </c>
      <c r="E107" s="14" t="s">
        <v>394</v>
      </c>
      <c r="F107" s="14">
        <v>3</v>
      </c>
      <c r="G107" s="14" t="s">
        <v>395</v>
      </c>
      <c r="H107" s="14" t="s">
        <v>396</v>
      </c>
      <c r="I107" s="14" t="s">
        <v>403</v>
      </c>
      <c r="J107" s="14">
        <v>5</v>
      </c>
      <c r="K107" s="14" t="s">
        <v>243</v>
      </c>
      <c r="L107" s="14" t="s">
        <v>398</v>
      </c>
      <c r="M107" s="15" t="s">
        <v>399</v>
      </c>
    </row>
    <row r="108" spans="1:13">
      <c r="A108" s="13" t="s">
        <v>404</v>
      </c>
      <c r="B108" s="14" t="s">
        <v>55</v>
      </c>
      <c r="C108" s="14" t="s">
        <v>81</v>
      </c>
      <c r="D108" s="14" t="s">
        <v>393</v>
      </c>
      <c r="E108" s="14" t="s">
        <v>394</v>
      </c>
      <c r="F108" s="14">
        <v>4</v>
      </c>
      <c r="G108" s="14" t="s">
        <v>395</v>
      </c>
      <c r="H108" s="14" t="s">
        <v>396</v>
      </c>
      <c r="I108" s="14" t="s">
        <v>405</v>
      </c>
      <c r="J108" s="14">
        <v>5</v>
      </c>
      <c r="K108" s="14" t="s">
        <v>243</v>
      </c>
      <c r="L108" s="14" t="s">
        <v>398</v>
      </c>
      <c r="M108" s="15" t="s">
        <v>399</v>
      </c>
    </row>
    <row r="109" spans="1:13">
      <c r="A109" s="13" t="s">
        <v>406</v>
      </c>
      <c r="B109" s="14" t="s">
        <v>55</v>
      </c>
      <c r="C109" s="14" t="s">
        <v>81</v>
      </c>
      <c r="D109" s="14" t="s">
        <v>393</v>
      </c>
      <c r="E109" s="14" t="s">
        <v>407</v>
      </c>
      <c r="F109" s="14">
        <v>1</v>
      </c>
      <c r="G109" s="14" t="s">
        <v>408</v>
      </c>
      <c r="H109" s="14" t="s">
        <v>409</v>
      </c>
      <c r="I109" s="14" t="s">
        <v>410</v>
      </c>
      <c r="J109" s="14">
        <v>5</v>
      </c>
      <c r="K109" s="14" t="s">
        <v>243</v>
      </c>
      <c r="L109" s="14" t="s">
        <v>411</v>
      </c>
      <c r="M109" s="15" t="s">
        <v>412</v>
      </c>
    </row>
    <row r="110" spans="1:13">
      <c r="A110" s="13" t="s">
        <v>413</v>
      </c>
      <c r="B110" s="14" t="s">
        <v>55</v>
      </c>
      <c r="C110" s="14" t="s">
        <v>81</v>
      </c>
      <c r="D110" s="14" t="s">
        <v>393</v>
      </c>
      <c r="E110" s="14" t="s">
        <v>407</v>
      </c>
      <c r="F110" s="14">
        <v>2</v>
      </c>
      <c r="G110" s="14" t="s">
        <v>408</v>
      </c>
      <c r="H110" s="14" t="s">
        <v>409</v>
      </c>
      <c r="I110" s="14" t="s">
        <v>414</v>
      </c>
      <c r="J110" s="14">
        <v>5</v>
      </c>
      <c r="K110" s="14" t="s">
        <v>243</v>
      </c>
      <c r="L110" s="14" t="s">
        <v>411</v>
      </c>
      <c r="M110" s="15" t="s">
        <v>412</v>
      </c>
    </row>
    <row r="111" spans="1:13">
      <c r="A111" s="13" t="s">
        <v>415</v>
      </c>
      <c r="B111" s="14" t="s">
        <v>55</v>
      </c>
      <c r="C111" s="14" t="s">
        <v>81</v>
      </c>
      <c r="D111" s="14" t="s">
        <v>393</v>
      </c>
      <c r="E111" s="14" t="s">
        <v>407</v>
      </c>
      <c r="F111" s="14">
        <v>3</v>
      </c>
      <c r="G111" s="14" t="s">
        <v>408</v>
      </c>
      <c r="H111" s="14" t="s">
        <v>409</v>
      </c>
      <c r="I111" s="14" t="s">
        <v>416</v>
      </c>
      <c r="J111" s="14">
        <v>5</v>
      </c>
      <c r="K111" s="14" t="s">
        <v>243</v>
      </c>
      <c r="L111" s="14" t="s">
        <v>411</v>
      </c>
      <c r="M111" s="15" t="s">
        <v>412</v>
      </c>
    </row>
    <row r="112" spans="1:13">
      <c r="A112" s="13" t="s">
        <v>417</v>
      </c>
      <c r="B112" s="14" t="s">
        <v>60</v>
      </c>
      <c r="C112" s="14" t="s">
        <v>81</v>
      </c>
      <c r="D112" s="14" t="s">
        <v>393</v>
      </c>
      <c r="E112" s="14" t="s">
        <v>394</v>
      </c>
      <c r="F112" s="14">
        <v>1</v>
      </c>
      <c r="G112" s="14" t="s">
        <v>395</v>
      </c>
      <c r="H112" s="14" t="s">
        <v>396</v>
      </c>
      <c r="I112" s="14" t="s">
        <v>418</v>
      </c>
      <c r="J112" s="14">
        <v>5</v>
      </c>
      <c r="K112" s="14" t="s">
        <v>243</v>
      </c>
      <c r="L112" s="14" t="s">
        <v>398</v>
      </c>
      <c r="M112" s="15" t="s">
        <v>399</v>
      </c>
    </row>
    <row r="113" spans="1:13">
      <c r="A113" s="13" t="s">
        <v>419</v>
      </c>
      <c r="B113" s="14" t="s">
        <v>60</v>
      </c>
      <c r="C113" s="14" t="s">
        <v>81</v>
      </c>
      <c r="D113" s="14" t="s">
        <v>393</v>
      </c>
      <c r="E113" s="14" t="s">
        <v>394</v>
      </c>
      <c r="F113" s="14">
        <v>2</v>
      </c>
      <c r="G113" s="14" t="s">
        <v>395</v>
      </c>
      <c r="H113" s="14" t="s">
        <v>396</v>
      </c>
      <c r="I113" s="14" t="s">
        <v>420</v>
      </c>
      <c r="J113" s="14">
        <v>5</v>
      </c>
      <c r="K113" s="14" t="s">
        <v>243</v>
      </c>
      <c r="L113" s="14" t="s">
        <v>398</v>
      </c>
      <c r="M113" s="15" t="s">
        <v>399</v>
      </c>
    </row>
    <row r="114" spans="1:13">
      <c r="A114" s="13" t="s">
        <v>421</v>
      </c>
      <c r="B114" s="14" t="s">
        <v>60</v>
      </c>
      <c r="C114" s="14" t="s">
        <v>81</v>
      </c>
      <c r="D114" s="14" t="s">
        <v>393</v>
      </c>
      <c r="E114" s="14" t="s">
        <v>394</v>
      </c>
      <c r="F114" s="14">
        <v>3</v>
      </c>
      <c r="G114" s="14" t="s">
        <v>395</v>
      </c>
      <c r="H114" s="14" t="s">
        <v>396</v>
      </c>
      <c r="I114" s="14" t="s">
        <v>422</v>
      </c>
      <c r="J114" s="14">
        <v>5</v>
      </c>
      <c r="K114" s="14" t="s">
        <v>243</v>
      </c>
      <c r="L114" s="14" t="s">
        <v>398</v>
      </c>
      <c r="M114" s="15" t="s">
        <v>399</v>
      </c>
    </row>
    <row r="115" spans="1:13">
      <c r="A115" s="13" t="s">
        <v>423</v>
      </c>
      <c r="B115" s="14" t="s">
        <v>60</v>
      </c>
      <c r="C115" s="14" t="s">
        <v>81</v>
      </c>
      <c r="D115" s="14" t="s">
        <v>393</v>
      </c>
      <c r="E115" s="14" t="s">
        <v>394</v>
      </c>
      <c r="F115" s="14">
        <v>4</v>
      </c>
      <c r="G115" s="14" t="s">
        <v>395</v>
      </c>
      <c r="H115" s="14" t="s">
        <v>396</v>
      </c>
      <c r="I115" s="14" t="s">
        <v>424</v>
      </c>
      <c r="J115" s="14">
        <v>5</v>
      </c>
      <c r="K115" s="14" t="s">
        <v>243</v>
      </c>
      <c r="L115" s="14" t="s">
        <v>398</v>
      </c>
      <c r="M115" s="15" t="s">
        <v>399</v>
      </c>
    </row>
    <row r="116" spans="1:13">
      <c r="A116" s="13" t="s">
        <v>425</v>
      </c>
      <c r="B116" s="14" t="s">
        <v>60</v>
      </c>
      <c r="C116" s="14" t="s">
        <v>81</v>
      </c>
      <c r="D116" s="14" t="s">
        <v>393</v>
      </c>
      <c r="E116" s="14" t="s">
        <v>407</v>
      </c>
      <c r="F116" s="14">
        <v>1</v>
      </c>
      <c r="G116" s="14" t="s">
        <v>408</v>
      </c>
      <c r="H116" s="14" t="s">
        <v>409</v>
      </c>
      <c r="I116" s="14" t="s">
        <v>426</v>
      </c>
      <c r="J116" s="14">
        <v>5</v>
      </c>
      <c r="K116" s="14" t="s">
        <v>243</v>
      </c>
      <c r="L116" s="14" t="s">
        <v>411</v>
      </c>
      <c r="M116" s="15" t="s">
        <v>412</v>
      </c>
    </row>
    <row r="117" spans="1:13">
      <c r="A117" s="13" t="s">
        <v>427</v>
      </c>
      <c r="B117" s="14" t="s">
        <v>60</v>
      </c>
      <c r="C117" s="14" t="s">
        <v>81</v>
      </c>
      <c r="D117" s="14" t="s">
        <v>393</v>
      </c>
      <c r="E117" s="14" t="s">
        <v>407</v>
      </c>
      <c r="F117" s="14">
        <v>2</v>
      </c>
      <c r="G117" s="14" t="s">
        <v>408</v>
      </c>
      <c r="H117" s="14" t="s">
        <v>409</v>
      </c>
      <c r="I117" s="14" t="s">
        <v>428</v>
      </c>
      <c r="J117" s="14">
        <v>5</v>
      </c>
      <c r="K117" s="14" t="s">
        <v>243</v>
      </c>
      <c r="L117" s="14" t="s">
        <v>411</v>
      </c>
      <c r="M117" s="15" t="s">
        <v>412</v>
      </c>
    </row>
    <row r="118" spans="1:13">
      <c r="A118" s="13" t="s">
        <v>429</v>
      </c>
      <c r="B118" s="14" t="s">
        <v>60</v>
      </c>
      <c r="C118" s="14" t="s">
        <v>81</v>
      </c>
      <c r="D118" s="14" t="s">
        <v>393</v>
      </c>
      <c r="E118" s="14" t="s">
        <v>407</v>
      </c>
      <c r="F118" s="14">
        <v>3</v>
      </c>
      <c r="G118" s="14" t="s">
        <v>408</v>
      </c>
      <c r="H118" s="14" t="s">
        <v>409</v>
      </c>
      <c r="I118" s="14" t="s">
        <v>430</v>
      </c>
      <c r="J118" s="14">
        <v>5</v>
      </c>
      <c r="K118" s="14" t="s">
        <v>243</v>
      </c>
      <c r="L118" s="14" t="s">
        <v>411</v>
      </c>
      <c r="M118" s="15" t="s">
        <v>412</v>
      </c>
    </row>
    <row r="119" spans="1:13">
      <c r="A119" s="13" t="s">
        <v>431</v>
      </c>
      <c r="B119" s="14" t="s">
        <v>62</v>
      </c>
      <c r="C119" s="14" t="s">
        <v>81</v>
      </c>
      <c r="D119" s="14" t="s">
        <v>393</v>
      </c>
      <c r="E119" s="14" t="s">
        <v>394</v>
      </c>
      <c r="F119" s="14">
        <v>1</v>
      </c>
      <c r="G119" s="14" t="s">
        <v>395</v>
      </c>
      <c r="H119" s="14" t="s">
        <v>396</v>
      </c>
      <c r="I119" s="14" t="s">
        <v>432</v>
      </c>
      <c r="J119" s="14">
        <v>5</v>
      </c>
      <c r="K119" s="14" t="s">
        <v>243</v>
      </c>
      <c r="L119" s="14" t="s">
        <v>398</v>
      </c>
      <c r="M119" s="15" t="s">
        <v>399</v>
      </c>
    </row>
    <row r="120" spans="1:13">
      <c r="A120" s="13" t="s">
        <v>433</v>
      </c>
      <c r="B120" s="14" t="s">
        <v>62</v>
      </c>
      <c r="C120" s="14" t="s">
        <v>81</v>
      </c>
      <c r="D120" s="14" t="s">
        <v>393</v>
      </c>
      <c r="E120" s="14" t="s">
        <v>394</v>
      </c>
      <c r="F120" s="14">
        <v>2</v>
      </c>
      <c r="G120" s="14" t="s">
        <v>395</v>
      </c>
      <c r="H120" s="14" t="s">
        <v>396</v>
      </c>
      <c r="I120" s="14" t="s">
        <v>434</v>
      </c>
      <c r="J120" s="14">
        <v>5</v>
      </c>
      <c r="K120" s="14" t="s">
        <v>243</v>
      </c>
      <c r="L120" s="14" t="s">
        <v>398</v>
      </c>
      <c r="M120" s="15" t="s">
        <v>399</v>
      </c>
    </row>
    <row r="121" spans="1:13">
      <c r="A121" s="13" t="s">
        <v>435</v>
      </c>
      <c r="B121" s="14" t="s">
        <v>62</v>
      </c>
      <c r="C121" s="14" t="s">
        <v>81</v>
      </c>
      <c r="D121" s="14" t="s">
        <v>393</v>
      </c>
      <c r="E121" s="14" t="s">
        <v>394</v>
      </c>
      <c r="F121" s="14">
        <v>3</v>
      </c>
      <c r="G121" s="14" t="s">
        <v>395</v>
      </c>
      <c r="H121" s="14" t="s">
        <v>396</v>
      </c>
      <c r="I121" s="14" t="s">
        <v>436</v>
      </c>
      <c r="J121" s="14">
        <v>5</v>
      </c>
      <c r="K121" s="14" t="s">
        <v>243</v>
      </c>
      <c r="L121" s="14" t="s">
        <v>398</v>
      </c>
      <c r="M121" s="15" t="s">
        <v>399</v>
      </c>
    </row>
    <row r="122" spans="1:13">
      <c r="A122" s="13" t="s">
        <v>437</v>
      </c>
      <c r="B122" s="14" t="s">
        <v>62</v>
      </c>
      <c r="C122" s="14" t="s">
        <v>81</v>
      </c>
      <c r="D122" s="14" t="s">
        <v>393</v>
      </c>
      <c r="E122" s="14" t="s">
        <v>394</v>
      </c>
      <c r="F122" s="14">
        <v>4</v>
      </c>
      <c r="G122" s="14" t="s">
        <v>395</v>
      </c>
      <c r="H122" s="14" t="s">
        <v>396</v>
      </c>
      <c r="I122" s="14" t="s">
        <v>438</v>
      </c>
      <c r="J122" s="14">
        <v>5</v>
      </c>
      <c r="K122" s="14" t="s">
        <v>243</v>
      </c>
      <c r="L122" s="14" t="s">
        <v>398</v>
      </c>
      <c r="M122" s="15" t="s">
        <v>399</v>
      </c>
    </row>
    <row r="123" spans="1:13">
      <c r="A123" s="13" t="s">
        <v>439</v>
      </c>
      <c r="B123" s="14" t="s">
        <v>62</v>
      </c>
      <c r="C123" s="14" t="s">
        <v>81</v>
      </c>
      <c r="D123" s="14" t="s">
        <v>393</v>
      </c>
      <c r="E123" s="14" t="s">
        <v>407</v>
      </c>
      <c r="F123" s="14">
        <v>1</v>
      </c>
      <c r="G123" s="14" t="s">
        <v>408</v>
      </c>
      <c r="H123" s="14" t="s">
        <v>409</v>
      </c>
      <c r="I123" s="14" t="s">
        <v>440</v>
      </c>
      <c r="J123" s="14">
        <v>5</v>
      </c>
      <c r="K123" s="14" t="s">
        <v>243</v>
      </c>
      <c r="L123" s="14" t="s">
        <v>411</v>
      </c>
      <c r="M123" s="15" t="s">
        <v>412</v>
      </c>
    </row>
    <row r="124" spans="1:13">
      <c r="A124" s="13" t="s">
        <v>441</v>
      </c>
      <c r="B124" s="14" t="s">
        <v>62</v>
      </c>
      <c r="C124" s="14" t="s">
        <v>81</v>
      </c>
      <c r="D124" s="14" t="s">
        <v>393</v>
      </c>
      <c r="E124" s="14" t="s">
        <v>407</v>
      </c>
      <c r="F124" s="14">
        <v>2</v>
      </c>
      <c r="G124" s="14" t="s">
        <v>408</v>
      </c>
      <c r="H124" s="14" t="s">
        <v>409</v>
      </c>
      <c r="I124" s="14" t="s">
        <v>442</v>
      </c>
      <c r="J124" s="14">
        <v>5</v>
      </c>
      <c r="K124" s="14" t="s">
        <v>243</v>
      </c>
      <c r="L124" s="14" t="s">
        <v>411</v>
      </c>
      <c r="M124" s="15" t="s">
        <v>412</v>
      </c>
    </row>
    <row r="125" spans="1:13">
      <c r="A125" s="13" t="s">
        <v>443</v>
      </c>
      <c r="B125" s="14" t="s">
        <v>62</v>
      </c>
      <c r="C125" s="14" t="s">
        <v>81</v>
      </c>
      <c r="D125" s="14" t="s">
        <v>393</v>
      </c>
      <c r="E125" s="14" t="s">
        <v>407</v>
      </c>
      <c r="F125" s="14">
        <v>3</v>
      </c>
      <c r="G125" s="14" t="s">
        <v>408</v>
      </c>
      <c r="H125" s="14" t="s">
        <v>409</v>
      </c>
      <c r="I125" s="14" t="s">
        <v>444</v>
      </c>
      <c r="J125" s="14">
        <v>5</v>
      </c>
      <c r="K125" s="14" t="s">
        <v>243</v>
      </c>
      <c r="L125" s="14" t="s">
        <v>411</v>
      </c>
      <c r="M125" s="15" t="s">
        <v>412</v>
      </c>
    </row>
    <row r="126" spans="1:13">
      <c r="A126" s="13" t="s">
        <v>445</v>
      </c>
      <c r="B126" s="14" t="s">
        <v>64</v>
      </c>
      <c r="C126" s="14" t="s">
        <v>81</v>
      </c>
      <c r="D126" s="14" t="s">
        <v>393</v>
      </c>
      <c r="E126" s="14" t="s">
        <v>394</v>
      </c>
      <c r="F126" s="14">
        <v>1</v>
      </c>
      <c r="G126" s="14" t="s">
        <v>395</v>
      </c>
      <c r="H126" s="14" t="s">
        <v>396</v>
      </c>
      <c r="I126" s="14" t="s">
        <v>446</v>
      </c>
      <c r="J126" s="14">
        <v>5</v>
      </c>
      <c r="K126" s="14" t="s">
        <v>243</v>
      </c>
      <c r="L126" s="14" t="s">
        <v>398</v>
      </c>
      <c r="M126" s="15" t="s">
        <v>399</v>
      </c>
    </row>
    <row r="127" spans="1:13">
      <c r="A127" s="13" t="s">
        <v>447</v>
      </c>
      <c r="B127" s="14" t="s">
        <v>64</v>
      </c>
      <c r="C127" s="14" t="s">
        <v>81</v>
      </c>
      <c r="D127" s="14" t="s">
        <v>393</v>
      </c>
      <c r="E127" s="14" t="s">
        <v>394</v>
      </c>
      <c r="F127" s="14">
        <v>2</v>
      </c>
      <c r="G127" s="14" t="s">
        <v>395</v>
      </c>
      <c r="H127" s="14" t="s">
        <v>396</v>
      </c>
      <c r="I127" s="14" t="s">
        <v>448</v>
      </c>
      <c r="J127" s="14">
        <v>5</v>
      </c>
      <c r="K127" s="14" t="s">
        <v>243</v>
      </c>
      <c r="L127" s="14" t="s">
        <v>398</v>
      </c>
      <c r="M127" s="15" t="s">
        <v>399</v>
      </c>
    </row>
    <row r="128" spans="1:13">
      <c r="A128" s="13" t="s">
        <v>449</v>
      </c>
      <c r="B128" s="14" t="s">
        <v>64</v>
      </c>
      <c r="C128" s="14" t="s">
        <v>81</v>
      </c>
      <c r="D128" s="14" t="s">
        <v>393</v>
      </c>
      <c r="E128" s="14" t="s">
        <v>394</v>
      </c>
      <c r="F128" s="14">
        <v>3</v>
      </c>
      <c r="G128" s="14" t="s">
        <v>395</v>
      </c>
      <c r="H128" s="14" t="s">
        <v>396</v>
      </c>
      <c r="I128" s="14" t="s">
        <v>450</v>
      </c>
      <c r="J128" s="14">
        <v>5</v>
      </c>
      <c r="K128" s="14" t="s">
        <v>243</v>
      </c>
      <c r="L128" s="14" t="s">
        <v>398</v>
      </c>
      <c r="M128" s="15" t="s">
        <v>399</v>
      </c>
    </row>
    <row r="129" spans="1:13">
      <c r="A129" s="13" t="s">
        <v>451</v>
      </c>
      <c r="B129" s="14" t="s">
        <v>64</v>
      </c>
      <c r="C129" s="14" t="s">
        <v>81</v>
      </c>
      <c r="D129" s="14" t="s">
        <v>393</v>
      </c>
      <c r="E129" s="14" t="s">
        <v>394</v>
      </c>
      <c r="F129" s="14">
        <v>4</v>
      </c>
      <c r="G129" s="14" t="s">
        <v>395</v>
      </c>
      <c r="H129" s="14" t="s">
        <v>396</v>
      </c>
      <c r="I129" s="14" t="s">
        <v>452</v>
      </c>
      <c r="J129" s="14">
        <v>5</v>
      </c>
      <c r="K129" s="14" t="s">
        <v>243</v>
      </c>
      <c r="L129" s="14" t="s">
        <v>398</v>
      </c>
      <c r="M129" s="15" t="s">
        <v>399</v>
      </c>
    </row>
    <row r="130" spans="1:13">
      <c r="A130" s="13" t="s">
        <v>453</v>
      </c>
      <c r="B130" s="14" t="s">
        <v>64</v>
      </c>
      <c r="C130" s="14" t="s">
        <v>81</v>
      </c>
      <c r="D130" s="14" t="s">
        <v>393</v>
      </c>
      <c r="E130" s="14" t="s">
        <v>407</v>
      </c>
      <c r="F130" s="14">
        <v>1</v>
      </c>
      <c r="G130" s="14" t="s">
        <v>408</v>
      </c>
      <c r="H130" s="14" t="s">
        <v>409</v>
      </c>
      <c r="I130" s="14" t="s">
        <v>454</v>
      </c>
      <c r="J130" s="14">
        <v>5</v>
      </c>
      <c r="K130" s="14" t="s">
        <v>243</v>
      </c>
      <c r="L130" s="14" t="s">
        <v>411</v>
      </c>
      <c r="M130" s="15" t="s">
        <v>412</v>
      </c>
    </row>
    <row r="131" spans="1:13">
      <c r="A131" s="13" t="s">
        <v>455</v>
      </c>
      <c r="B131" s="14" t="s">
        <v>64</v>
      </c>
      <c r="C131" s="14" t="s">
        <v>81</v>
      </c>
      <c r="D131" s="14" t="s">
        <v>393</v>
      </c>
      <c r="E131" s="14" t="s">
        <v>407</v>
      </c>
      <c r="F131" s="14">
        <v>2</v>
      </c>
      <c r="G131" s="14" t="s">
        <v>408</v>
      </c>
      <c r="H131" s="14" t="s">
        <v>409</v>
      </c>
      <c r="I131" s="14" t="s">
        <v>456</v>
      </c>
      <c r="J131" s="14">
        <v>5</v>
      </c>
      <c r="K131" s="14" t="s">
        <v>243</v>
      </c>
      <c r="L131" s="14" t="s">
        <v>411</v>
      </c>
      <c r="M131" s="15" t="s">
        <v>412</v>
      </c>
    </row>
    <row r="132" spans="1:13">
      <c r="A132" s="13" t="s">
        <v>457</v>
      </c>
      <c r="B132" s="14" t="s">
        <v>64</v>
      </c>
      <c r="C132" s="14" t="s">
        <v>81</v>
      </c>
      <c r="D132" s="14" t="s">
        <v>393</v>
      </c>
      <c r="E132" s="14" t="s">
        <v>407</v>
      </c>
      <c r="F132" s="14">
        <v>3</v>
      </c>
      <c r="G132" s="14" t="s">
        <v>408</v>
      </c>
      <c r="H132" s="14" t="s">
        <v>409</v>
      </c>
      <c r="I132" s="14" t="s">
        <v>458</v>
      </c>
      <c r="J132" s="14">
        <v>5</v>
      </c>
      <c r="K132" s="14" t="s">
        <v>243</v>
      </c>
      <c r="L132" s="14" t="s">
        <v>411</v>
      </c>
      <c r="M132" s="15" t="s">
        <v>412</v>
      </c>
    </row>
    <row r="133" spans="1:13">
      <c r="A133" s="13" t="s">
        <v>459</v>
      </c>
      <c r="B133" s="14" t="s">
        <v>66</v>
      </c>
      <c r="C133" s="14" t="s">
        <v>81</v>
      </c>
      <c r="D133" s="14" t="s">
        <v>393</v>
      </c>
      <c r="E133" s="14" t="s">
        <v>394</v>
      </c>
      <c r="F133" s="14">
        <v>1</v>
      </c>
      <c r="G133" s="14" t="s">
        <v>395</v>
      </c>
      <c r="H133" s="14" t="s">
        <v>396</v>
      </c>
      <c r="I133" s="14" t="s">
        <v>460</v>
      </c>
      <c r="J133" s="14">
        <v>5</v>
      </c>
      <c r="K133" s="14" t="s">
        <v>243</v>
      </c>
      <c r="L133" s="14" t="s">
        <v>398</v>
      </c>
      <c r="M133" s="15" t="s">
        <v>399</v>
      </c>
    </row>
    <row r="134" spans="1:13">
      <c r="A134" s="13" t="s">
        <v>461</v>
      </c>
      <c r="B134" s="14" t="s">
        <v>66</v>
      </c>
      <c r="C134" s="14" t="s">
        <v>81</v>
      </c>
      <c r="D134" s="14" t="s">
        <v>393</v>
      </c>
      <c r="E134" s="14" t="s">
        <v>394</v>
      </c>
      <c r="F134" s="14">
        <v>2</v>
      </c>
      <c r="G134" s="14" t="s">
        <v>395</v>
      </c>
      <c r="H134" s="14" t="s">
        <v>396</v>
      </c>
      <c r="I134" s="14" t="s">
        <v>462</v>
      </c>
      <c r="J134" s="14">
        <v>5</v>
      </c>
      <c r="K134" s="14" t="s">
        <v>243</v>
      </c>
      <c r="L134" s="14" t="s">
        <v>398</v>
      </c>
      <c r="M134" s="15" t="s">
        <v>399</v>
      </c>
    </row>
    <row r="135" spans="1:13">
      <c r="A135" s="13" t="s">
        <v>463</v>
      </c>
      <c r="B135" s="14" t="s">
        <v>66</v>
      </c>
      <c r="C135" s="14" t="s">
        <v>81</v>
      </c>
      <c r="D135" s="14" t="s">
        <v>393</v>
      </c>
      <c r="E135" s="14" t="s">
        <v>394</v>
      </c>
      <c r="F135" s="14">
        <v>3</v>
      </c>
      <c r="G135" s="14" t="s">
        <v>395</v>
      </c>
      <c r="H135" s="14" t="s">
        <v>396</v>
      </c>
      <c r="I135" s="14" t="s">
        <v>464</v>
      </c>
      <c r="J135" s="14">
        <v>5</v>
      </c>
      <c r="K135" s="14" t="s">
        <v>243</v>
      </c>
      <c r="L135" s="14" t="s">
        <v>398</v>
      </c>
      <c r="M135" s="15" t="s">
        <v>399</v>
      </c>
    </row>
    <row r="136" spans="1:13">
      <c r="A136" s="13" t="s">
        <v>465</v>
      </c>
      <c r="B136" s="14" t="s">
        <v>66</v>
      </c>
      <c r="C136" s="14" t="s">
        <v>81</v>
      </c>
      <c r="D136" s="14" t="s">
        <v>393</v>
      </c>
      <c r="E136" s="14" t="s">
        <v>394</v>
      </c>
      <c r="F136" s="14">
        <v>4</v>
      </c>
      <c r="G136" s="14" t="s">
        <v>395</v>
      </c>
      <c r="H136" s="14" t="s">
        <v>396</v>
      </c>
      <c r="I136" s="14" t="s">
        <v>466</v>
      </c>
      <c r="J136" s="14">
        <v>5</v>
      </c>
      <c r="K136" s="14" t="s">
        <v>243</v>
      </c>
      <c r="L136" s="14" t="s">
        <v>398</v>
      </c>
      <c r="M136" s="15" t="s">
        <v>399</v>
      </c>
    </row>
    <row r="137" spans="1:13">
      <c r="A137" s="13" t="s">
        <v>467</v>
      </c>
      <c r="B137" s="14" t="s">
        <v>66</v>
      </c>
      <c r="C137" s="14" t="s">
        <v>81</v>
      </c>
      <c r="D137" s="14" t="s">
        <v>393</v>
      </c>
      <c r="E137" s="14" t="s">
        <v>407</v>
      </c>
      <c r="F137" s="14">
        <v>1</v>
      </c>
      <c r="G137" s="14" t="s">
        <v>408</v>
      </c>
      <c r="H137" s="14" t="s">
        <v>409</v>
      </c>
      <c r="I137" s="14" t="s">
        <v>468</v>
      </c>
      <c r="J137" s="14">
        <v>5</v>
      </c>
      <c r="K137" s="14" t="s">
        <v>243</v>
      </c>
      <c r="L137" s="14" t="s">
        <v>411</v>
      </c>
      <c r="M137" s="15" t="s">
        <v>412</v>
      </c>
    </row>
    <row r="138" spans="1:13">
      <c r="A138" s="13" t="s">
        <v>469</v>
      </c>
      <c r="B138" s="14" t="s">
        <v>66</v>
      </c>
      <c r="C138" s="14" t="s">
        <v>81</v>
      </c>
      <c r="D138" s="14" t="s">
        <v>393</v>
      </c>
      <c r="E138" s="14" t="s">
        <v>407</v>
      </c>
      <c r="F138" s="14">
        <v>2</v>
      </c>
      <c r="G138" s="14" t="s">
        <v>408</v>
      </c>
      <c r="H138" s="14" t="s">
        <v>409</v>
      </c>
      <c r="I138" s="14" t="s">
        <v>470</v>
      </c>
      <c r="J138" s="14">
        <v>5</v>
      </c>
      <c r="K138" s="14" t="s">
        <v>243</v>
      </c>
      <c r="L138" s="14" t="s">
        <v>411</v>
      </c>
      <c r="M138" s="15" t="s">
        <v>412</v>
      </c>
    </row>
    <row r="139" spans="1:13">
      <c r="A139" s="21" t="s">
        <v>471</v>
      </c>
      <c r="B139" s="22" t="s">
        <v>66</v>
      </c>
      <c r="C139" s="22" t="s">
        <v>81</v>
      </c>
      <c r="D139" s="22" t="s">
        <v>393</v>
      </c>
      <c r="E139" s="22" t="s">
        <v>407</v>
      </c>
      <c r="F139" s="22">
        <v>3</v>
      </c>
      <c r="G139" s="22" t="s">
        <v>408</v>
      </c>
      <c r="H139" s="22" t="s">
        <v>409</v>
      </c>
      <c r="I139" s="22" t="s">
        <v>472</v>
      </c>
      <c r="J139" s="22">
        <v>5</v>
      </c>
      <c r="K139" s="22" t="s">
        <v>243</v>
      </c>
      <c r="L139" s="22" t="s">
        <v>411</v>
      </c>
      <c r="M139" s="23" t="s">
        <v>412</v>
      </c>
    </row>
  </sheetData>
  <mergeCells count="2">
    <mergeCell ref="A1:M1"/>
    <mergeCell ref="A2:M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9"/>
  <sheetViews>
    <sheetView workbookViewId="0">
      <selection activeCell="A1" sqref="A1:M1"/>
    </sheetView>
  </sheetViews>
  <sheetFormatPr defaultColWidth="9" defaultRowHeight="14.1"/>
  <cols>
    <col min="1" max="1" width="16" customWidth="1"/>
    <col min="2" max="2" width="8" customWidth="1"/>
    <col min="3" max="3" width="10" customWidth="1"/>
    <col min="4" max="4" width="8" customWidth="1"/>
    <col min="5" max="5" width="20" customWidth="1"/>
    <col min="6" max="6" width="8" customWidth="1"/>
    <col min="7" max="7" width="22" customWidth="1"/>
    <col min="8" max="8" width="28" customWidth="1"/>
    <col min="9" max="9" width="78" customWidth="1"/>
    <col min="10" max="11" width="8" customWidth="1"/>
    <col min="12" max="12" width="18" customWidth="1"/>
    <col min="13" max="13" width="16" customWidth="1"/>
  </cols>
  <sheetData>
    <row r="1" ht="17.55" spans="1:13">
      <c r="A1" s="1" t="s">
        <v>473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3" t="s">
        <v>474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ht="15" customHeight="1" spans="1:13">
      <c r="A4" s="8" t="s">
        <v>70</v>
      </c>
      <c r="B4" s="9" t="s">
        <v>50</v>
      </c>
      <c r="C4" s="9" t="s">
        <v>71</v>
      </c>
      <c r="D4" s="9" t="s">
        <v>72</v>
      </c>
      <c r="E4" s="9" t="s">
        <v>73</v>
      </c>
      <c r="F4" s="9" t="s">
        <v>74</v>
      </c>
      <c r="G4" s="9" t="s">
        <v>75</v>
      </c>
      <c r="H4" s="9" t="s">
        <v>76</v>
      </c>
      <c r="I4" s="9" t="s">
        <v>77</v>
      </c>
      <c r="J4" s="9" t="s">
        <v>78</v>
      </c>
      <c r="K4" s="9" t="s">
        <v>79</v>
      </c>
      <c r="L4" s="9" t="s">
        <v>53</v>
      </c>
      <c r="M4" s="12" t="s">
        <v>21</v>
      </c>
    </row>
    <row r="5" ht="15" customHeight="1" spans="1:13">
      <c r="A5" s="13" t="s">
        <v>475</v>
      </c>
      <c r="B5" s="14" t="s">
        <v>55</v>
      </c>
      <c r="C5" s="14" t="s">
        <v>476</v>
      </c>
      <c r="D5" s="14" t="s">
        <v>477</v>
      </c>
      <c r="E5" s="14" t="s">
        <v>478</v>
      </c>
      <c r="F5" s="14">
        <v>1</v>
      </c>
      <c r="G5" s="14" t="s">
        <v>479</v>
      </c>
      <c r="H5" s="14" t="s">
        <v>480</v>
      </c>
      <c r="I5" s="14" t="s">
        <v>481</v>
      </c>
      <c r="J5" s="14">
        <v>2</v>
      </c>
      <c r="K5" s="14" t="s">
        <v>243</v>
      </c>
      <c r="L5" s="14" t="s">
        <v>482</v>
      </c>
      <c r="M5" s="15" t="s">
        <v>483</v>
      </c>
    </row>
    <row r="6" ht="15" customHeight="1" spans="1:13">
      <c r="A6" s="13" t="s">
        <v>484</v>
      </c>
      <c r="B6" s="14" t="s">
        <v>55</v>
      </c>
      <c r="C6" s="14" t="s">
        <v>476</v>
      </c>
      <c r="D6" s="14" t="s">
        <v>477</v>
      </c>
      <c r="E6" s="14" t="s">
        <v>478</v>
      </c>
      <c r="F6" s="14">
        <v>2</v>
      </c>
      <c r="G6" s="14" t="s">
        <v>479</v>
      </c>
      <c r="H6" s="14" t="s">
        <v>480</v>
      </c>
      <c r="I6" s="14" t="s">
        <v>485</v>
      </c>
      <c r="J6" s="14">
        <v>2</v>
      </c>
      <c r="K6" s="14" t="s">
        <v>243</v>
      </c>
      <c r="L6" s="14" t="s">
        <v>482</v>
      </c>
      <c r="M6" s="15" t="s">
        <v>483</v>
      </c>
    </row>
    <row r="7" ht="15" customHeight="1" spans="1:13">
      <c r="A7" s="13" t="s">
        <v>486</v>
      </c>
      <c r="B7" s="14" t="s">
        <v>55</v>
      </c>
      <c r="C7" s="14" t="s">
        <v>476</v>
      </c>
      <c r="D7" s="14" t="s">
        <v>477</v>
      </c>
      <c r="E7" s="14" t="s">
        <v>478</v>
      </c>
      <c r="F7" s="14">
        <v>3</v>
      </c>
      <c r="G7" s="14" t="s">
        <v>479</v>
      </c>
      <c r="H7" s="14" t="s">
        <v>480</v>
      </c>
      <c r="I7" s="14" t="s">
        <v>487</v>
      </c>
      <c r="J7" s="14">
        <v>2</v>
      </c>
      <c r="K7" s="14" t="s">
        <v>243</v>
      </c>
      <c r="L7" s="14" t="s">
        <v>482</v>
      </c>
      <c r="M7" s="15" t="s">
        <v>483</v>
      </c>
    </row>
    <row r="8" ht="15" customHeight="1" spans="1:13">
      <c r="A8" s="13" t="s">
        <v>488</v>
      </c>
      <c r="B8" s="14" t="s">
        <v>55</v>
      </c>
      <c r="C8" s="14" t="s">
        <v>476</v>
      </c>
      <c r="D8" s="14" t="s">
        <v>477</v>
      </c>
      <c r="E8" s="14" t="s">
        <v>478</v>
      </c>
      <c r="F8" s="14">
        <v>4</v>
      </c>
      <c r="G8" s="14" t="s">
        <v>479</v>
      </c>
      <c r="H8" s="14" t="s">
        <v>480</v>
      </c>
      <c r="I8" s="14" t="s">
        <v>489</v>
      </c>
      <c r="J8" s="14">
        <v>2</v>
      </c>
      <c r="K8" s="14" t="s">
        <v>243</v>
      </c>
      <c r="L8" s="14" t="s">
        <v>482</v>
      </c>
      <c r="M8" s="15" t="s">
        <v>483</v>
      </c>
    </row>
    <row r="9" ht="15" customHeight="1" spans="1:13">
      <c r="A9" s="13" t="s">
        <v>490</v>
      </c>
      <c r="B9" s="14" t="s">
        <v>55</v>
      </c>
      <c r="C9" s="14" t="s">
        <v>476</v>
      </c>
      <c r="D9" s="14" t="s">
        <v>477</v>
      </c>
      <c r="E9" s="14" t="s">
        <v>478</v>
      </c>
      <c r="F9" s="14">
        <v>5</v>
      </c>
      <c r="G9" s="14" t="s">
        <v>479</v>
      </c>
      <c r="H9" s="14" t="s">
        <v>480</v>
      </c>
      <c r="I9" s="14" t="s">
        <v>491</v>
      </c>
      <c r="J9" s="14">
        <v>2</v>
      </c>
      <c r="K9" s="14" t="s">
        <v>243</v>
      </c>
      <c r="L9" s="14" t="s">
        <v>482</v>
      </c>
      <c r="M9" s="15" t="s">
        <v>483</v>
      </c>
    </row>
    <row r="10" ht="15" customHeight="1" spans="1:13">
      <c r="A10" s="13" t="s">
        <v>492</v>
      </c>
      <c r="B10" s="14" t="s">
        <v>55</v>
      </c>
      <c r="C10" s="14" t="s">
        <v>476</v>
      </c>
      <c r="D10" s="14" t="s">
        <v>477</v>
      </c>
      <c r="E10" s="14" t="s">
        <v>478</v>
      </c>
      <c r="F10" s="14">
        <v>6</v>
      </c>
      <c r="G10" s="14" t="s">
        <v>479</v>
      </c>
      <c r="H10" s="14" t="s">
        <v>493</v>
      </c>
      <c r="I10" s="14" t="s">
        <v>494</v>
      </c>
      <c r="J10" s="14">
        <v>2</v>
      </c>
      <c r="K10" s="14" t="s">
        <v>243</v>
      </c>
      <c r="L10" s="14" t="s">
        <v>482</v>
      </c>
      <c r="M10" s="15" t="s">
        <v>495</v>
      </c>
    </row>
    <row r="11" ht="15" customHeight="1" spans="1:13">
      <c r="A11" s="13" t="s">
        <v>496</v>
      </c>
      <c r="B11" s="14" t="s">
        <v>55</v>
      </c>
      <c r="C11" s="14" t="s">
        <v>476</v>
      </c>
      <c r="D11" s="14" t="s">
        <v>477</v>
      </c>
      <c r="E11" s="14" t="s">
        <v>478</v>
      </c>
      <c r="F11" s="14">
        <v>7</v>
      </c>
      <c r="G11" s="14" t="s">
        <v>479</v>
      </c>
      <c r="H11" s="14" t="s">
        <v>493</v>
      </c>
      <c r="I11" s="14" t="s">
        <v>497</v>
      </c>
      <c r="J11" s="14">
        <v>2</v>
      </c>
      <c r="K11" s="14" t="s">
        <v>243</v>
      </c>
      <c r="L11" s="14" t="s">
        <v>482</v>
      </c>
      <c r="M11" s="15" t="s">
        <v>495</v>
      </c>
    </row>
    <row r="12" ht="15" customHeight="1" spans="1:13">
      <c r="A12" s="13" t="s">
        <v>498</v>
      </c>
      <c r="B12" s="14" t="s">
        <v>55</v>
      </c>
      <c r="C12" s="14" t="s">
        <v>476</v>
      </c>
      <c r="D12" s="14" t="s">
        <v>477</v>
      </c>
      <c r="E12" s="14" t="s">
        <v>478</v>
      </c>
      <c r="F12" s="14">
        <v>8</v>
      </c>
      <c r="G12" s="14" t="s">
        <v>479</v>
      </c>
      <c r="H12" s="14" t="s">
        <v>493</v>
      </c>
      <c r="I12" s="14" t="s">
        <v>499</v>
      </c>
      <c r="J12" s="14">
        <v>2</v>
      </c>
      <c r="K12" s="14" t="s">
        <v>243</v>
      </c>
      <c r="L12" s="14" t="s">
        <v>482</v>
      </c>
      <c r="M12" s="15" t="s">
        <v>495</v>
      </c>
    </row>
    <row r="13" ht="15" customHeight="1" spans="1:13">
      <c r="A13" s="13" t="s">
        <v>500</v>
      </c>
      <c r="B13" s="14" t="s">
        <v>55</v>
      </c>
      <c r="C13" s="14" t="s">
        <v>476</v>
      </c>
      <c r="D13" s="14" t="s">
        <v>477</v>
      </c>
      <c r="E13" s="14" t="s">
        <v>478</v>
      </c>
      <c r="F13" s="14">
        <v>9</v>
      </c>
      <c r="G13" s="14" t="s">
        <v>479</v>
      </c>
      <c r="H13" s="14" t="s">
        <v>493</v>
      </c>
      <c r="I13" s="14" t="s">
        <v>501</v>
      </c>
      <c r="J13" s="14">
        <v>2</v>
      </c>
      <c r="K13" s="14" t="s">
        <v>243</v>
      </c>
      <c r="L13" s="14" t="s">
        <v>482</v>
      </c>
      <c r="M13" s="15" t="s">
        <v>495</v>
      </c>
    </row>
    <row r="14" ht="15" customHeight="1" spans="1:13">
      <c r="A14" s="13" t="s">
        <v>502</v>
      </c>
      <c r="B14" s="14" t="s">
        <v>55</v>
      </c>
      <c r="C14" s="14" t="s">
        <v>476</v>
      </c>
      <c r="D14" s="14" t="s">
        <v>477</v>
      </c>
      <c r="E14" s="14" t="s">
        <v>478</v>
      </c>
      <c r="F14" s="14">
        <v>10</v>
      </c>
      <c r="G14" s="14" t="s">
        <v>479</v>
      </c>
      <c r="H14" s="14" t="s">
        <v>493</v>
      </c>
      <c r="I14" s="14" t="s">
        <v>503</v>
      </c>
      <c r="J14" s="14">
        <v>2</v>
      </c>
      <c r="K14" s="14" t="s">
        <v>243</v>
      </c>
      <c r="L14" s="14" t="s">
        <v>482</v>
      </c>
      <c r="M14" s="15" t="s">
        <v>495</v>
      </c>
    </row>
    <row r="15" ht="15" customHeight="1" spans="1:13">
      <c r="A15" s="13" t="s">
        <v>504</v>
      </c>
      <c r="B15" s="14" t="s">
        <v>60</v>
      </c>
      <c r="C15" s="14" t="s">
        <v>476</v>
      </c>
      <c r="D15" s="14" t="s">
        <v>477</v>
      </c>
      <c r="E15" s="14" t="s">
        <v>478</v>
      </c>
      <c r="F15" s="14">
        <v>1</v>
      </c>
      <c r="G15" s="14" t="s">
        <v>479</v>
      </c>
      <c r="H15" s="14" t="s">
        <v>505</v>
      </c>
      <c r="I15" s="14" t="s">
        <v>506</v>
      </c>
      <c r="J15" s="14">
        <v>2</v>
      </c>
      <c r="K15" s="14" t="s">
        <v>243</v>
      </c>
      <c r="L15" s="14" t="s">
        <v>482</v>
      </c>
      <c r="M15" s="15" t="s">
        <v>483</v>
      </c>
    </row>
    <row r="16" ht="15" customHeight="1" spans="1:13">
      <c r="A16" s="13" t="s">
        <v>507</v>
      </c>
      <c r="B16" s="14" t="s">
        <v>60</v>
      </c>
      <c r="C16" s="14" t="s">
        <v>476</v>
      </c>
      <c r="D16" s="14" t="s">
        <v>477</v>
      </c>
      <c r="E16" s="14" t="s">
        <v>478</v>
      </c>
      <c r="F16" s="14">
        <v>2</v>
      </c>
      <c r="G16" s="14" t="s">
        <v>479</v>
      </c>
      <c r="H16" s="14" t="s">
        <v>505</v>
      </c>
      <c r="I16" s="14" t="s">
        <v>508</v>
      </c>
      <c r="J16" s="14">
        <v>2</v>
      </c>
      <c r="K16" s="14" t="s">
        <v>243</v>
      </c>
      <c r="L16" s="14" t="s">
        <v>482</v>
      </c>
      <c r="M16" s="15" t="s">
        <v>483</v>
      </c>
    </row>
    <row r="17" ht="15" customHeight="1" spans="1:13">
      <c r="A17" s="13" t="s">
        <v>509</v>
      </c>
      <c r="B17" s="14" t="s">
        <v>60</v>
      </c>
      <c r="C17" s="14" t="s">
        <v>476</v>
      </c>
      <c r="D17" s="14" t="s">
        <v>477</v>
      </c>
      <c r="E17" s="14" t="s">
        <v>478</v>
      </c>
      <c r="F17" s="14">
        <v>3</v>
      </c>
      <c r="G17" s="14" t="s">
        <v>479</v>
      </c>
      <c r="H17" s="14" t="s">
        <v>505</v>
      </c>
      <c r="I17" s="14" t="s">
        <v>510</v>
      </c>
      <c r="J17" s="14">
        <v>2</v>
      </c>
      <c r="K17" s="14" t="s">
        <v>243</v>
      </c>
      <c r="L17" s="14" t="s">
        <v>482</v>
      </c>
      <c r="M17" s="15" t="s">
        <v>483</v>
      </c>
    </row>
    <row r="18" ht="15" customHeight="1" spans="1:13">
      <c r="A18" s="13" t="s">
        <v>511</v>
      </c>
      <c r="B18" s="14" t="s">
        <v>60</v>
      </c>
      <c r="C18" s="14" t="s">
        <v>476</v>
      </c>
      <c r="D18" s="14" t="s">
        <v>477</v>
      </c>
      <c r="E18" s="14" t="s">
        <v>478</v>
      </c>
      <c r="F18" s="14">
        <v>4</v>
      </c>
      <c r="G18" s="14" t="s">
        <v>479</v>
      </c>
      <c r="H18" s="14" t="s">
        <v>505</v>
      </c>
      <c r="I18" s="14" t="s">
        <v>512</v>
      </c>
      <c r="J18" s="14">
        <v>2</v>
      </c>
      <c r="K18" s="14" t="s">
        <v>243</v>
      </c>
      <c r="L18" s="14" t="s">
        <v>482</v>
      </c>
      <c r="M18" s="15" t="s">
        <v>483</v>
      </c>
    </row>
    <row r="19" ht="15" customHeight="1" spans="1:13">
      <c r="A19" s="13" t="s">
        <v>513</v>
      </c>
      <c r="B19" s="14" t="s">
        <v>60</v>
      </c>
      <c r="C19" s="14" t="s">
        <v>476</v>
      </c>
      <c r="D19" s="14" t="s">
        <v>477</v>
      </c>
      <c r="E19" s="14" t="s">
        <v>478</v>
      </c>
      <c r="F19" s="14">
        <v>5</v>
      </c>
      <c r="G19" s="14" t="s">
        <v>479</v>
      </c>
      <c r="H19" s="14" t="s">
        <v>505</v>
      </c>
      <c r="I19" s="14" t="s">
        <v>514</v>
      </c>
      <c r="J19" s="14">
        <v>2</v>
      </c>
      <c r="K19" s="14" t="s">
        <v>243</v>
      </c>
      <c r="L19" s="14" t="s">
        <v>482</v>
      </c>
      <c r="M19" s="15" t="s">
        <v>483</v>
      </c>
    </row>
    <row r="20" ht="15" customHeight="1" spans="1:13">
      <c r="A20" s="13" t="s">
        <v>515</v>
      </c>
      <c r="B20" s="14" t="s">
        <v>60</v>
      </c>
      <c r="C20" s="14" t="s">
        <v>476</v>
      </c>
      <c r="D20" s="14" t="s">
        <v>477</v>
      </c>
      <c r="E20" s="14" t="s">
        <v>478</v>
      </c>
      <c r="F20" s="14">
        <v>6</v>
      </c>
      <c r="G20" s="14" t="s">
        <v>479</v>
      </c>
      <c r="H20" s="14" t="s">
        <v>516</v>
      </c>
      <c r="I20" s="14" t="s">
        <v>517</v>
      </c>
      <c r="J20" s="14">
        <v>2</v>
      </c>
      <c r="K20" s="14" t="s">
        <v>243</v>
      </c>
      <c r="L20" s="14" t="s">
        <v>482</v>
      </c>
      <c r="M20" s="15" t="s">
        <v>495</v>
      </c>
    </row>
    <row r="21" spans="1:13">
      <c r="A21" s="13" t="s">
        <v>518</v>
      </c>
      <c r="B21" s="14" t="s">
        <v>60</v>
      </c>
      <c r="C21" s="14" t="s">
        <v>476</v>
      </c>
      <c r="D21" s="14" t="s">
        <v>477</v>
      </c>
      <c r="E21" s="14" t="s">
        <v>478</v>
      </c>
      <c r="F21" s="14">
        <v>7</v>
      </c>
      <c r="G21" s="14" t="s">
        <v>479</v>
      </c>
      <c r="H21" s="14" t="s">
        <v>516</v>
      </c>
      <c r="I21" s="14" t="s">
        <v>519</v>
      </c>
      <c r="J21" s="14">
        <v>2</v>
      </c>
      <c r="K21" s="14" t="s">
        <v>243</v>
      </c>
      <c r="L21" s="14" t="s">
        <v>482</v>
      </c>
      <c r="M21" s="15" t="s">
        <v>495</v>
      </c>
    </row>
    <row r="22" spans="1:13">
      <c r="A22" s="13" t="s">
        <v>520</v>
      </c>
      <c r="B22" s="14" t="s">
        <v>60</v>
      </c>
      <c r="C22" s="14" t="s">
        <v>476</v>
      </c>
      <c r="D22" s="14" t="s">
        <v>477</v>
      </c>
      <c r="E22" s="14" t="s">
        <v>478</v>
      </c>
      <c r="F22" s="14">
        <v>8</v>
      </c>
      <c r="G22" s="14" t="s">
        <v>479</v>
      </c>
      <c r="H22" s="14" t="s">
        <v>516</v>
      </c>
      <c r="I22" s="14" t="s">
        <v>521</v>
      </c>
      <c r="J22" s="14">
        <v>2</v>
      </c>
      <c r="K22" s="14" t="s">
        <v>243</v>
      </c>
      <c r="L22" s="14" t="s">
        <v>482</v>
      </c>
      <c r="M22" s="15" t="s">
        <v>495</v>
      </c>
    </row>
    <row r="23" spans="1:13">
      <c r="A23" s="13" t="s">
        <v>522</v>
      </c>
      <c r="B23" s="14" t="s">
        <v>60</v>
      </c>
      <c r="C23" s="14" t="s">
        <v>476</v>
      </c>
      <c r="D23" s="14" t="s">
        <v>477</v>
      </c>
      <c r="E23" s="14" t="s">
        <v>478</v>
      </c>
      <c r="F23" s="14">
        <v>9</v>
      </c>
      <c r="G23" s="14" t="s">
        <v>479</v>
      </c>
      <c r="H23" s="14" t="s">
        <v>516</v>
      </c>
      <c r="I23" s="14" t="s">
        <v>523</v>
      </c>
      <c r="J23" s="14">
        <v>2</v>
      </c>
      <c r="K23" s="14" t="s">
        <v>243</v>
      </c>
      <c r="L23" s="14" t="s">
        <v>482</v>
      </c>
      <c r="M23" s="15" t="s">
        <v>495</v>
      </c>
    </row>
    <row r="24" spans="1:13">
      <c r="A24" s="13" t="s">
        <v>524</v>
      </c>
      <c r="B24" s="14" t="s">
        <v>60</v>
      </c>
      <c r="C24" s="14" t="s">
        <v>476</v>
      </c>
      <c r="D24" s="14" t="s">
        <v>477</v>
      </c>
      <c r="E24" s="14" t="s">
        <v>478</v>
      </c>
      <c r="F24" s="14">
        <v>10</v>
      </c>
      <c r="G24" s="14" t="s">
        <v>479</v>
      </c>
      <c r="H24" s="14" t="s">
        <v>516</v>
      </c>
      <c r="I24" s="14" t="s">
        <v>525</v>
      </c>
      <c r="J24" s="14">
        <v>2</v>
      </c>
      <c r="K24" s="14" t="s">
        <v>243</v>
      </c>
      <c r="L24" s="14" t="s">
        <v>482</v>
      </c>
      <c r="M24" s="15" t="s">
        <v>495</v>
      </c>
    </row>
    <row r="25" spans="1:13">
      <c r="A25" s="13" t="s">
        <v>526</v>
      </c>
      <c r="B25" s="14" t="s">
        <v>62</v>
      </c>
      <c r="C25" s="14" t="s">
        <v>476</v>
      </c>
      <c r="D25" s="14" t="s">
        <v>477</v>
      </c>
      <c r="E25" s="14" t="s">
        <v>478</v>
      </c>
      <c r="F25" s="14">
        <v>1</v>
      </c>
      <c r="G25" s="14" t="s">
        <v>479</v>
      </c>
      <c r="H25" s="14" t="s">
        <v>527</v>
      </c>
      <c r="I25" s="14" t="s">
        <v>528</v>
      </c>
      <c r="J25" s="14">
        <v>2</v>
      </c>
      <c r="K25" s="14" t="s">
        <v>243</v>
      </c>
      <c r="L25" s="14" t="s">
        <v>482</v>
      </c>
      <c r="M25" s="15" t="s">
        <v>483</v>
      </c>
    </row>
    <row r="26" spans="1:13">
      <c r="A26" s="13" t="s">
        <v>529</v>
      </c>
      <c r="B26" s="14" t="s">
        <v>62</v>
      </c>
      <c r="C26" s="14" t="s">
        <v>476</v>
      </c>
      <c r="D26" s="14" t="s">
        <v>477</v>
      </c>
      <c r="E26" s="14" t="s">
        <v>478</v>
      </c>
      <c r="F26" s="14">
        <v>2</v>
      </c>
      <c r="G26" s="14" t="s">
        <v>479</v>
      </c>
      <c r="H26" s="14" t="s">
        <v>527</v>
      </c>
      <c r="I26" s="14" t="s">
        <v>530</v>
      </c>
      <c r="J26" s="14">
        <v>2</v>
      </c>
      <c r="K26" s="14" t="s">
        <v>243</v>
      </c>
      <c r="L26" s="14" t="s">
        <v>482</v>
      </c>
      <c r="M26" s="15" t="s">
        <v>483</v>
      </c>
    </row>
    <row r="27" spans="1:13">
      <c r="A27" s="13" t="s">
        <v>531</v>
      </c>
      <c r="B27" s="14" t="s">
        <v>62</v>
      </c>
      <c r="C27" s="14" t="s">
        <v>476</v>
      </c>
      <c r="D27" s="14" t="s">
        <v>477</v>
      </c>
      <c r="E27" s="14" t="s">
        <v>478</v>
      </c>
      <c r="F27" s="14">
        <v>3</v>
      </c>
      <c r="G27" s="14" t="s">
        <v>479</v>
      </c>
      <c r="H27" s="14" t="s">
        <v>527</v>
      </c>
      <c r="I27" s="14" t="s">
        <v>532</v>
      </c>
      <c r="J27" s="14">
        <v>2</v>
      </c>
      <c r="K27" s="14" t="s">
        <v>243</v>
      </c>
      <c r="L27" s="14" t="s">
        <v>482</v>
      </c>
      <c r="M27" s="15" t="s">
        <v>483</v>
      </c>
    </row>
    <row r="28" spans="1:13">
      <c r="A28" s="13" t="s">
        <v>533</v>
      </c>
      <c r="B28" s="14" t="s">
        <v>62</v>
      </c>
      <c r="C28" s="14" t="s">
        <v>476</v>
      </c>
      <c r="D28" s="14" t="s">
        <v>477</v>
      </c>
      <c r="E28" s="14" t="s">
        <v>478</v>
      </c>
      <c r="F28" s="14">
        <v>4</v>
      </c>
      <c r="G28" s="14" t="s">
        <v>479</v>
      </c>
      <c r="H28" s="14" t="s">
        <v>527</v>
      </c>
      <c r="I28" s="14" t="s">
        <v>534</v>
      </c>
      <c r="J28" s="14">
        <v>2</v>
      </c>
      <c r="K28" s="14" t="s">
        <v>243</v>
      </c>
      <c r="L28" s="14" t="s">
        <v>482</v>
      </c>
      <c r="M28" s="15" t="s">
        <v>483</v>
      </c>
    </row>
    <row r="29" spans="1:13">
      <c r="A29" s="13" t="s">
        <v>535</v>
      </c>
      <c r="B29" s="14" t="s">
        <v>62</v>
      </c>
      <c r="C29" s="14" t="s">
        <v>476</v>
      </c>
      <c r="D29" s="14" t="s">
        <v>477</v>
      </c>
      <c r="E29" s="14" t="s">
        <v>478</v>
      </c>
      <c r="F29" s="14">
        <v>5</v>
      </c>
      <c r="G29" s="14" t="s">
        <v>479</v>
      </c>
      <c r="H29" s="14" t="s">
        <v>527</v>
      </c>
      <c r="I29" s="14" t="s">
        <v>536</v>
      </c>
      <c r="J29" s="14">
        <v>2</v>
      </c>
      <c r="K29" s="14" t="s">
        <v>243</v>
      </c>
      <c r="L29" s="14" t="s">
        <v>482</v>
      </c>
      <c r="M29" s="15" t="s">
        <v>483</v>
      </c>
    </row>
    <row r="30" spans="1:13">
      <c r="A30" s="13" t="s">
        <v>537</v>
      </c>
      <c r="B30" s="14" t="s">
        <v>62</v>
      </c>
      <c r="C30" s="14" t="s">
        <v>476</v>
      </c>
      <c r="D30" s="14" t="s">
        <v>477</v>
      </c>
      <c r="E30" s="14" t="s">
        <v>478</v>
      </c>
      <c r="F30" s="14">
        <v>6</v>
      </c>
      <c r="G30" s="14" t="s">
        <v>479</v>
      </c>
      <c r="H30" s="14" t="s">
        <v>538</v>
      </c>
      <c r="I30" s="14" t="s">
        <v>539</v>
      </c>
      <c r="J30" s="14">
        <v>2</v>
      </c>
      <c r="K30" s="14" t="s">
        <v>243</v>
      </c>
      <c r="L30" s="14" t="s">
        <v>482</v>
      </c>
      <c r="M30" s="15" t="s">
        <v>495</v>
      </c>
    </row>
    <row r="31" spans="1:13">
      <c r="A31" s="13" t="s">
        <v>540</v>
      </c>
      <c r="B31" s="14" t="s">
        <v>62</v>
      </c>
      <c r="C31" s="14" t="s">
        <v>476</v>
      </c>
      <c r="D31" s="14" t="s">
        <v>477</v>
      </c>
      <c r="E31" s="14" t="s">
        <v>478</v>
      </c>
      <c r="F31" s="14">
        <v>7</v>
      </c>
      <c r="G31" s="14" t="s">
        <v>479</v>
      </c>
      <c r="H31" s="14" t="s">
        <v>538</v>
      </c>
      <c r="I31" s="14" t="s">
        <v>541</v>
      </c>
      <c r="J31" s="14">
        <v>2</v>
      </c>
      <c r="K31" s="14" t="s">
        <v>243</v>
      </c>
      <c r="L31" s="14" t="s">
        <v>482</v>
      </c>
      <c r="M31" s="15" t="s">
        <v>495</v>
      </c>
    </row>
    <row r="32" spans="1:13">
      <c r="A32" s="13" t="s">
        <v>542</v>
      </c>
      <c r="B32" s="14" t="s">
        <v>62</v>
      </c>
      <c r="C32" s="14" t="s">
        <v>476</v>
      </c>
      <c r="D32" s="14" t="s">
        <v>477</v>
      </c>
      <c r="E32" s="14" t="s">
        <v>478</v>
      </c>
      <c r="F32" s="14">
        <v>8</v>
      </c>
      <c r="G32" s="14" t="s">
        <v>479</v>
      </c>
      <c r="H32" s="14" t="s">
        <v>538</v>
      </c>
      <c r="I32" s="14" t="s">
        <v>543</v>
      </c>
      <c r="J32" s="14">
        <v>2</v>
      </c>
      <c r="K32" s="14" t="s">
        <v>243</v>
      </c>
      <c r="L32" s="14" t="s">
        <v>482</v>
      </c>
      <c r="M32" s="15" t="s">
        <v>495</v>
      </c>
    </row>
    <row r="33" spans="1:13">
      <c r="A33" s="13" t="s">
        <v>544</v>
      </c>
      <c r="B33" s="14" t="s">
        <v>62</v>
      </c>
      <c r="C33" s="14" t="s">
        <v>476</v>
      </c>
      <c r="D33" s="14" t="s">
        <v>477</v>
      </c>
      <c r="E33" s="14" t="s">
        <v>478</v>
      </c>
      <c r="F33" s="14">
        <v>9</v>
      </c>
      <c r="G33" s="14" t="s">
        <v>479</v>
      </c>
      <c r="H33" s="14" t="s">
        <v>538</v>
      </c>
      <c r="I33" s="14" t="s">
        <v>545</v>
      </c>
      <c r="J33" s="14">
        <v>2</v>
      </c>
      <c r="K33" s="14" t="s">
        <v>243</v>
      </c>
      <c r="L33" s="14" t="s">
        <v>482</v>
      </c>
      <c r="M33" s="15" t="s">
        <v>495</v>
      </c>
    </row>
    <row r="34" spans="1:13">
      <c r="A34" s="13" t="s">
        <v>546</v>
      </c>
      <c r="B34" s="14" t="s">
        <v>62</v>
      </c>
      <c r="C34" s="14" t="s">
        <v>476</v>
      </c>
      <c r="D34" s="14" t="s">
        <v>477</v>
      </c>
      <c r="E34" s="14" t="s">
        <v>478</v>
      </c>
      <c r="F34" s="14">
        <v>10</v>
      </c>
      <c r="G34" s="14" t="s">
        <v>479</v>
      </c>
      <c r="H34" s="14" t="s">
        <v>538</v>
      </c>
      <c r="I34" s="14" t="s">
        <v>547</v>
      </c>
      <c r="J34" s="14">
        <v>2</v>
      </c>
      <c r="K34" s="14" t="s">
        <v>243</v>
      </c>
      <c r="L34" s="14" t="s">
        <v>482</v>
      </c>
      <c r="M34" s="15" t="s">
        <v>495</v>
      </c>
    </row>
    <row r="35" spans="1:13">
      <c r="A35" s="13" t="s">
        <v>548</v>
      </c>
      <c r="B35" s="14" t="s">
        <v>64</v>
      </c>
      <c r="C35" s="14" t="s">
        <v>476</v>
      </c>
      <c r="D35" s="14" t="s">
        <v>477</v>
      </c>
      <c r="E35" s="14" t="s">
        <v>478</v>
      </c>
      <c r="F35" s="14">
        <v>1</v>
      </c>
      <c r="G35" s="14" t="s">
        <v>479</v>
      </c>
      <c r="H35" s="14" t="s">
        <v>549</v>
      </c>
      <c r="I35" s="14" t="s">
        <v>550</v>
      </c>
      <c r="J35" s="14">
        <v>2</v>
      </c>
      <c r="K35" s="14" t="s">
        <v>243</v>
      </c>
      <c r="L35" s="14" t="s">
        <v>482</v>
      </c>
      <c r="M35" s="15" t="s">
        <v>483</v>
      </c>
    </row>
    <row r="36" spans="1:13">
      <c r="A36" s="13" t="s">
        <v>551</v>
      </c>
      <c r="B36" s="14" t="s">
        <v>64</v>
      </c>
      <c r="C36" s="14" t="s">
        <v>476</v>
      </c>
      <c r="D36" s="14" t="s">
        <v>477</v>
      </c>
      <c r="E36" s="14" t="s">
        <v>478</v>
      </c>
      <c r="F36" s="14">
        <v>2</v>
      </c>
      <c r="G36" s="14" t="s">
        <v>479</v>
      </c>
      <c r="H36" s="14" t="s">
        <v>549</v>
      </c>
      <c r="I36" s="14" t="s">
        <v>552</v>
      </c>
      <c r="J36" s="14">
        <v>2</v>
      </c>
      <c r="K36" s="14" t="s">
        <v>243</v>
      </c>
      <c r="L36" s="14" t="s">
        <v>482</v>
      </c>
      <c r="M36" s="15" t="s">
        <v>483</v>
      </c>
    </row>
    <row r="37" spans="1:13">
      <c r="A37" s="13" t="s">
        <v>553</v>
      </c>
      <c r="B37" s="14" t="s">
        <v>64</v>
      </c>
      <c r="C37" s="14" t="s">
        <v>476</v>
      </c>
      <c r="D37" s="14" t="s">
        <v>477</v>
      </c>
      <c r="E37" s="14" t="s">
        <v>478</v>
      </c>
      <c r="F37" s="14">
        <v>3</v>
      </c>
      <c r="G37" s="14" t="s">
        <v>479</v>
      </c>
      <c r="H37" s="14" t="s">
        <v>549</v>
      </c>
      <c r="I37" s="14" t="s">
        <v>554</v>
      </c>
      <c r="J37" s="14">
        <v>2</v>
      </c>
      <c r="K37" s="14" t="s">
        <v>243</v>
      </c>
      <c r="L37" s="14" t="s">
        <v>482</v>
      </c>
      <c r="M37" s="15" t="s">
        <v>483</v>
      </c>
    </row>
    <row r="38" spans="1:13">
      <c r="A38" s="13" t="s">
        <v>555</v>
      </c>
      <c r="B38" s="14" t="s">
        <v>64</v>
      </c>
      <c r="C38" s="14" t="s">
        <v>476</v>
      </c>
      <c r="D38" s="14" t="s">
        <v>477</v>
      </c>
      <c r="E38" s="14" t="s">
        <v>478</v>
      </c>
      <c r="F38" s="14">
        <v>4</v>
      </c>
      <c r="G38" s="14" t="s">
        <v>479</v>
      </c>
      <c r="H38" s="14" t="s">
        <v>549</v>
      </c>
      <c r="I38" s="14" t="s">
        <v>556</v>
      </c>
      <c r="J38" s="14">
        <v>2</v>
      </c>
      <c r="K38" s="14" t="s">
        <v>243</v>
      </c>
      <c r="L38" s="14" t="s">
        <v>482</v>
      </c>
      <c r="M38" s="15" t="s">
        <v>483</v>
      </c>
    </row>
    <row r="39" spans="1:13">
      <c r="A39" s="13" t="s">
        <v>557</v>
      </c>
      <c r="B39" s="14" t="s">
        <v>64</v>
      </c>
      <c r="C39" s="14" t="s">
        <v>476</v>
      </c>
      <c r="D39" s="14" t="s">
        <v>477</v>
      </c>
      <c r="E39" s="14" t="s">
        <v>478</v>
      </c>
      <c r="F39" s="14">
        <v>5</v>
      </c>
      <c r="G39" s="14" t="s">
        <v>479</v>
      </c>
      <c r="H39" s="14" t="s">
        <v>549</v>
      </c>
      <c r="I39" s="14" t="s">
        <v>558</v>
      </c>
      <c r="J39" s="14">
        <v>2</v>
      </c>
      <c r="K39" s="14" t="s">
        <v>243</v>
      </c>
      <c r="L39" s="14" t="s">
        <v>482</v>
      </c>
      <c r="M39" s="15" t="s">
        <v>483</v>
      </c>
    </row>
    <row r="40" spans="1:13">
      <c r="A40" s="13" t="s">
        <v>559</v>
      </c>
      <c r="B40" s="14" t="s">
        <v>64</v>
      </c>
      <c r="C40" s="14" t="s">
        <v>476</v>
      </c>
      <c r="D40" s="14" t="s">
        <v>477</v>
      </c>
      <c r="E40" s="14" t="s">
        <v>478</v>
      </c>
      <c r="F40" s="14">
        <v>6</v>
      </c>
      <c r="G40" s="14" t="s">
        <v>479</v>
      </c>
      <c r="H40" s="14" t="s">
        <v>560</v>
      </c>
      <c r="I40" s="14" t="s">
        <v>561</v>
      </c>
      <c r="J40" s="14">
        <v>2</v>
      </c>
      <c r="K40" s="14" t="s">
        <v>243</v>
      </c>
      <c r="L40" s="14" t="s">
        <v>482</v>
      </c>
      <c r="M40" s="15" t="s">
        <v>495</v>
      </c>
    </row>
    <row r="41" spans="1:13">
      <c r="A41" s="13" t="s">
        <v>562</v>
      </c>
      <c r="B41" s="14" t="s">
        <v>64</v>
      </c>
      <c r="C41" s="14" t="s">
        <v>476</v>
      </c>
      <c r="D41" s="14" t="s">
        <v>477</v>
      </c>
      <c r="E41" s="14" t="s">
        <v>478</v>
      </c>
      <c r="F41" s="14">
        <v>7</v>
      </c>
      <c r="G41" s="14" t="s">
        <v>479</v>
      </c>
      <c r="H41" s="14" t="s">
        <v>560</v>
      </c>
      <c r="I41" s="14" t="s">
        <v>563</v>
      </c>
      <c r="J41" s="14">
        <v>2</v>
      </c>
      <c r="K41" s="14" t="s">
        <v>243</v>
      </c>
      <c r="L41" s="14" t="s">
        <v>482</v>
      </c>
      <c r="M41" s="15" t="s">
        <v>495</v>
      </c>
    </row>
    <row r="42" spans="1:13">
      <c r="A42" s="13" t="s">
        <v>564</v>
      </c>
      <c r="B42" s="14" t="s">
        <v>64</v>
      </c>
      <c r="C42" s="14" t="s">
        <v>476</v>
      </c>
      <c r="D42" s="14" t="s">
        <v>477</v>
      </c>
      <c r="E42" s="14" t="s">
        <v>478</v>
      </c>
      <c r="F42" s="14">
        <v>8</v>
      </c>
      <c r="G42" s="14" t="s">
        <v>479</v>
      </c>
      <c r="H42" s="14" t="s">
        <v>560</v>
      </c>
      <c r="I42" s="14" t="s">
        <v>565</v>
      </c>
      <c r="J42" s="14">
        <v>2</v>
      </c>
      <c r="K42" s="14" t="s">
        <v>243</v>
      </c>
      <c r="L42" s="14" t="s">
        <v>482</v>
      </c>
      <c r="M42" s="15" t="s">
        <v>495</v>
      </c>
    </row>
    <row r="43" spans="1:13">
      <c r="A43" s="13" t="s">
        <v>566</v>
      </c>
      <c r="B43" s="14" t="s">
        <v>64</v>
      </c>
      <c r="C43" s="14" t="s">
        <v>476</v>
      </c>
      <c r="D43" s="14" t="s">
        <v>477</v>
      </c>
      <c r="E43" s="14" t="s">
        <v>478</v>
      </c>
      <c r="F43" s="14">
        <v>9</v>
      </c>
      <c r="G43" s="14" t="s">
        <v>479</v>
      </c>
      <c r="H43" s="14" t="s">
        <v>560</v>
      </c>
      <c r="I43" s="14" t="s">
        <v>567</v>
      </c>
      <c r="J43" s="14">
        <v>2</v>
      </c>
      <c r="K43" s="14" t="s">
        <v>243</v>
      </c>
      <c r="L43" s="14" t="s">
        <v>482</v>
      </c>
      <c r="M43" s="15" t="s">
        <v>495</v>
      </c>
    </row>
    <row r="44" spans="1:13">
      <c r="A44" s="13" t="s">
        <v>568</v>
      </c>
      <c r="B44" s="14" t="s">
        <v>64</v>
      </c>
      <c r="C44" s="14" t="s">
        <v>476</v>
      </c>
      <c r="D44" s="14" t="s">
        <v>477</v>
      </c>
      <c r="E44" s="14" t="s">
        <v>478</v>
      </c>
      <c r="F44" s="14">
        <v>10</v>
      </c>
      <c r="G44" s="14" t="s">
        <v>479</v>
      </c>
      <c r="H44" s="14" t="s">
        <v>560</v>
      </c>
      <c r="I44" s="14" t="s">
        <v>569</v>
      </c>
      <c r="J44" s="14">
        <v>2</v>
      </c>
      <c r="K44" s="14" t="s">
        <v>243</v>
      </c>
      <c r="L44" s="14" t="s">
        <v>482</v>
      </c>
      <c r="M44" s="15" t="s">
        <v>495</v>
      </c>
    </row>
    <row r="45" spans="1:13">
      <c r="A45" s="13" t="s">
        <v>570</v>
      </c>
      <c r="B45" s="14" t="s">
        <v>66</v>
      </c>
      <c r="C45" s="14" t="s">
        <v>476</v>
      </c>
      <c r="D45" s="14" t="s">
        <v>477</v>
      </c>
      <c r="E45" s="14" t="s">
        <v>478</v>
      </c>
      <c r="F45" s="14">
        <v>1</v>
      </c>
      <c r="G45" s="14" t="s">
        <v>479</v>
      </c>
      <c r="H45" s="14" t="s">
        <v>571</v>
      </c>
      <c r="I45" s="14" t="s">
        <v>572</v>
      </c>
      <c r="J45" s="14">
        <v>2</v>
      </c>
      <c r="K45" s="14" t="s">
        <v>243</v>
      </c>
      <c r="L45" s="14" t="s">
        <v>482</v>
      </c>
      <c r="M45" s="15" t="s">
        <v>483</v>
      </c>
    </row>
    <row r="46" spans="1:13">
      <c r="A46" s="13" t="s">
        <v>573</v>
      </c>
      <c r="B46" s="14" t="s">
        <v>66</v>
      </c>
      <c r="C46" s="14" t="s">
        <v>476</v>
      </c>
      <c r="D46" s="14" t="s">
        <v>477</v>
      </c>
      <c r="E46" s="14" t="s">
        <v>478</v>
      </c>
      <c r="F46" s="14">
        <v>2</v>
      </c>
      <c r="G46" s="14" t="s">
        <v>479</v>
      </c>
      <c r="H46" s="14" t="s">
        <v>571</v>
      </c>
      <c r="I46" s="14" t="s">
        <v>574</v>
      </c>
      <c r="J46" s="14">
        <v>2</v>
      </c>
      <c r="K46" s="14" t="s">
        <v>243</v>
      </c>
      <c r="L46" s="14" t="s">
        <v>482</v>
      </c>
      <c r="M46" s="15" t="s">
        <v>483</v>
      </c>
    </row>
    <row r="47" spans="1:13">
      <c r="A47" s="13" t="s">
        <v>575</v>
      </c>
      <c r="B47" s="14" t="s">
        <v>66</v>
      </c>
      <c r="C47" s="14" t="s">
        <v>476</v>
      </c>
      <c r="D47" s="14" t="s">
        <v>477</v>
      </c>
      <c r="E47" s="14" t="s">
        <v>478</v>
      </c>
      <c r="F47" s="14">
        <v>3</v>
      </c>
      <c r="G47" s="14" t="s">
        <v>479</v>
      </c>
      <c r="H47" s="14" t="s">
        <v>571</v>
      </c>
      <c r="I47" s="14" t="s">
        <v>576</v>
      </c>
      <c r="J47" s="14">
        <v>2</v>
      </c>
      <c r="K47" s="14" t="s">
        <v>243</v>
      </c>
      <c r="L47" s="14" t="s">
        <v>482</v>
      </c>
      <c r="M47" s="15" t="s">
        <v>483</v>
      </c>
    </row>
    <row r="48" spans="1:13">
      <c r="A48" s="13" t="s">
        <v>577</v>
      </c>
      <c r="B48" s="14" t="s">
        <v>66</v>
      </c>
      <c r="C48" s="14" t="s">
        <v>476</v>
      </c>
      <c r="D48" s="14" t="s">
        <v>477</v>
      </c>
      <c r="E48" s="14" t="s">
        <v>478</v>
      </c>
      <c r="F48" s="14">
        <v>4</v>
      </c>
      <c r="G48" s="14" t="s">
        <v>479</v>
      </c>
      <c r="H48" s="14" t="s">
        <v>571</v>
      </c>
      <c r="I48" s="14" t="s">
        <v>578</v>
      </c>
      <c r="J48" s="14">
        <v>2</v>
      </c>
      <c r="K48" s="14" t="s">
        <v>243</v>
      </c>
      <c r="L48" s="14" t="s">
        <v>482</v>
      </c>
      <c r="M48" s="15" t="s">
        <v>483</v>
      </c>
    </row>
    <row r="49" spans="1:13">
      <c r="A49" s="13" t="s">
        <v>579</v>
      </c>
      <c r="B49" s="14" t="s">
        <v>66</v>
      </c>
      <c r="C49" s="14" t="s">
        <v>476</v>
      </c>
      <c r="D49" s="14" t="s">
        <v>477</v>
      </c>
      <c r="E49" s="14" t="s">
        <v>478</v>
      </c>
      <c r="F49" s="14">
        <v>5</v>
      </c>
      <c r="G49" s="14" t="s">
        <v>479</v>
      </c>
      <c r="H49" s="14" t="s">
        <v>571</v>
      </c>
      <c r="I49" s="14" t="s">
        <v>580</v>
      </c>
      <c r="J49" s="14">
        <v>2</v>
      </c>
      <c r="K49" s="14" t="s">
        <v>243</v>
      </c>
      <c r="L49" s="14" t="s">
        <v>482</v>
      </c>
      <c r="M49" s="15" t="s">
        <v>483</v>
      </c>
    </row>
    <row r="50" spans="1:13">
      <c r="A50" s="13" t="s">
        <v>581</v>
      </c>
      <c r="B50" s="14" t="s">
        <v>66</v>
      </c>
      <c r="C50" s="14" t="s">
        <v>476</v>
      </c>
      <c r="D50" s="14" t="s">
        <v>477</v>
      </c>
      <c r="E50" s="14" t="s">
        <v>478</v>
      </c>
      <c r="F50" s="14">
        <v>6</v>
      </c>
      <c r="G50" s="14" t="s">
        <v>479</v>
      </c>
      <c r="H50" s="14" t="s">
        <v>582</v>
      </c>
      <c r="I50" s="14" t="s">
        <v>583</v>
      </c>
      <c r="J50" s="14">
        <v>2</v>
      </c>
      <c r="K50" s="14" t="s">
        <v>243</v>
      </c>
      <c r="L50" s="14" t="s">
        <v>482</v>
      </c>
      <c r="M50" s="15" t="s">
        <v>495</v>
      </c>
    </row>
    <row r="51" spans="1:13">
      <c r="A51" s="13" t="s">
        <v>584</v>
      </c>
      <c r="B51" s="14" t="s">
        <v>66</v>
      </c>
      <c r="C51" s="14" t="s">
        <v>476</v>
      </c>
      <c r="D51" s="14" t="s">
        <v>477</v>
      </c>
      <c r="E51" s="14" t="s">
        <v>478</v>
      </c>
      <c r="F51" s="14">
        <v>7</v>
      </c>
      <c r="G51" s="14" t="s">
        <v>479</v>
      </c>
      <c r="H51" s="14" t="s">
        <v>582</v>
      </c>
      <c r="I51" s="14" t="s">
        <v>585</v>
      </c>
      <c r="J51" s="14">
        <v>2</v>
      </c>
      <c r="K51" s="14" t="s">
        <v>243</v>
      </c>
      <c r="L51" s="14" t="s">
        <v>482</v>
      </c>
      <c r="M51" s="15" t="s">
        <v>495</v>
      </c>
    </row>
    <row r="52" spans="1:13">
      <c r="A52" s="13" t="s">
        <v>586</v>
      </c>
      <c r="B52" s="14" t="s">
        <v>66</v>
      </c>
      <c r="C52" s="14" t="s">
        <v>476</v>
      </c>
      <c r="D52" s="14" t="s">
        <v>477</v>
      </c>
      <c r="E52" s="14" t="s">
        <v>478</v>
      </c>
      <c r="F52" s="14">
        <v>8</v>
      </c>
      <c r="G52" s="14" t="s">
        <v>479</v>
      </c>
      <c r="H52" s="14" t="s">
        <v>582</v>
      </c>
      <c r="I52" s="14" t="s">
        <v>587</v>
      </c>
      <c r="J52" s="14">
        <v>2</v>
      </c>
      <c r="K52" s="14" t="s">
        <v>243</v>
      </c>
      <c r="L52" s="14" t="s">
        <v>482</v>
      </c>
      <c r="M52" s="15" t="s">
        <v>495</v>
      </c>
    </row>
    <row r="53" spans="1:13">
      <c r="A53" s="13" t="s">
        <v>588</v>
      </c>
      <c r="B53" s="14" t="s">
        <v>66</v>
      </c>
      <c r="C53" s="14" t="s">
        <v>476</v>
      </c>
      <c r="D53" s="14" t="s">
        <v>477</v>
      </c>
      <c r="E53" s="14" t="s">
        <v>478</v>
      </c>
      <c r="F53" s="14">
        <v>9</v>
      </c>
      <c r="G53" s="14" t="s">
        <v>479</v>
      </c>
      <c r="H53" s="14" t="s">
        <v>582</v>
      </c>
      <c r="I53" s="14" t="s">
        <v>589</v>
      </c>
      <c r="J53" s="14">
        <v>2</v>
      </c>
      <c r="K53" s="14" t="s">
        <v>243</v>
      </c>
      <c r="L53" s="14" t="s">
        <v>482</v>
      </c>
      <c r="M53" s="15" t="s">
        <v>495</v>
      </c>
    </row>
    <row r="54" spans="1:13">
      <c r="A54" s="13" t="s">
        <v>590</v>
      </c>
      <c r="B54" s="14" t="s">
        <v>66</v>
      </c>
      <c r="C54" s="14" t="s">
        <v>476</v>
      </c>
      <c r="D54" s="14" t="s">
        <v>477</v>
      </c>
      <c r="E54" s="14" t="s">
        <v>478</v>
      </c>
      <c r="F54" s="14">
        <v>10</v>
      </c>
      <c r="G54" s="14" t="s">
        <v>479</v>
      </c>
      <c r="H54" s="14" t="s">
        <v>582</v>
      </c>
      <c r="I54" s="14" t="s">
        <v>591</v>
      </c>
      <c r="J54" s="14">
        <v>2</v>
      </c>
      <c r="K54" s="14" t="s">
        <v>243</v>
      </c>
      <c r="L54" s="14" t="s">
        <v>482</v>
      </c>
      <c r="M54" s="15" t="s">
        <v>495</v>
      </c>
    </row>
    <row r="55" spans="1:13">
      <c r="A55" s="13" t="s">
        <v>592</v>
      </c>
      <c r="B55" s="14" t="s">
        <v>55</v>
      </c>
      <c r="C55" s="14" t="s">
        <v>476</v>
      </c>
      <c r="D55" s="14" t="s">
        <v>593</v>
      </c>
      <c r="E55" s="14" t="s">
        <v>594</v>
      </c>
      <c r="F55" s="14">
        <v>1</v>
      </c>
      <c r="G55" s="14" t="s">
        <v>595</v>
      </c>
      <c r="H55" s="14" t="s">
        <v>596</v>
      </c>
      <c r="I55" s="14" t="s">
        <v>597</v>
      </c>
      <c r="J55" s="14">
        <v>25</v>
      </c>
      <c r="K55" s="14" t="s">
        <v>243</v>
      </c>
      <c r="L55" s="14" t="s">
        <v>598</v>
      </c>
      <c r="M55" s="15" t="s">
        <v>599</v>
      </c>
    </row>
    <row r="56" spans="1:13">
      <c r="A56" s="13" t="s">
        <v>600</v>
      </c>
      <c r="B56" s="14" t="s">
        <v>60</v>
      </c>
      <c r="C56" s="14" t="s">
        <v>476</v>
      </c>
      <c r="D56" s="14" t="s">
        <v>593</v>
      </c>
      <c r="E56" s="14" t="s">
        <v>594</v>
      </c>
      <c r="F56" s="14">
        <v>1</v>
      </c>
      <c r="G56" s="14" t="s">
        <v>595</v>
      </c>
      <c r="H56" s="14" t="s">
        <v>601</v>
      </c>
      <c r="I56" s="14" t="s">
        <v>602</v>
      </c>
      <c r="J56" s="14">
        <v>25</v>
      </c>
      <c r="K56" s="14" t="s">
        <v>243</v>
      </c>
      <c r="L56" s="14" t="s">
        <v>598</v>
      </c>
      <c r="M56" s="15" t="s">
        <v>599</v>
      </c>
    </row>
    <row r="57" spans="1:13">
      <c r="A57" s="13" t="s">
        <v>603</v>
      </c>
      <c r="B57" s="14" t="s">
        <v>62</v>
      </c>
      <c r="C57" s="14" t="s">
        <v>476</v>
      </c>
      <c r="D57" s="14" t="s">
        <v>593</v>
      </c>
      <c r="E57" s="14" t="s">
        <v>594</v>
      </c>
      <c r="F57" s="14">
        <v>1</v>
      </c>
      <c r="G57" s="14" t="s">
        <v>595</v>
      </c>
      <c r="H57" s="14" t="s">
        <v>604</v>
      </c>
      <c r="I57" s="14" t="s">
        <v>605</v>
      </c>
      <c r="J57" s="14">
        <v>25</v>
      </c>
      <c r="K57" s="14" t="s">
        <v>243</v>
      </c>
      <c r="L57" s="14" t="s">
        <v>598</v>
      </c>
      <c r="M57" s="15" t="s">
        <v>599</v>
      </c>
    </row>
    <row r="58" spans="1:13">
      <c r="A58" s="13" t="s">
        <v>606</v>
      </c>
      <c r="B58" s="14" t="s">
        <v>64</v>
      </c>
      <c r="C58" s="14" t="s">
        <v>476</v>
      </c>
      <c r="D58" s="14" t="s">
        <v>593</v>
      </c>
      <c r="E58" s="14" t="s">
        <v>594</v>
      </c>
      <c r="F58" s="14">
        <v>1</v>
      </c>
      <c r="G58" s="14" t="s">
        <v>595</v>
      </c>
      <c r="H58" s="14" t="s">
        <v>607</v>
      </c>
      <c r="I58" s="14" t="s">
        <v>608</v>
      </c>
      <c r="J58" s="14">
        <v>25</v>
      </c>
      <c r="K58" s="14" t="s">
        <v>243</v>
      </c>
      <c r="L58" s="14" t="s">
        <v>598</v>
      </c>
      <c r="M58" s="15" t="s">
        <v>599</v>
      </c>
    </row>
    <row r="59" spans="1:13">
      <c r="A59" s="21" t="s">
        <v>609</v>
      </c>
      <c r="B59" s="22" t="s">
        <v>66</v>
      </c>
      <c r="C59" s="22" t="s">
        <v>476</v>
      </c>
      <c r="D59" s="22" t="s">
        <v>593</v>
      </c>
      <c r="E59" s="22" t="s">
        <v>594</v>
      </c>
      <c r="F59" s="22">
        <v>1</v>
      </c>
      <c r="G59" s="22" t="s">
        <v>595</v>
      </c>
      <c r="H59" s="22" t="s">
        <v>610</v>
      </c>
      <c r="I59" s="22" t="s">
        <v>611</v>
      </c>
      <c r="J59" s="22">
        <v>25</v>
      </c>
      <c r="K59" s="22" t="s">
        <v>243</v>
      </c>
      <c r="L59" s="22" t="s">
        <v>598</v>
      </c>
      <c r="M59" s="23" t="s">
        <v>599</v>
      </c>
    </row>
  </sheetData>
  <mergeCells count="2">
    <mergeCell ref="A1:M1"/>
    <mergeCell ref="A2:M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selection activeCell="A1" sqref="A1:J1"/>
    </sheetView>
  </sheetViews>
  <sheetFormatPr defaultColWidth="9" defaultRowHeight="14.1"/>
  <cols>
    <col min="1" max="1" width="8" customWidth="1"/>
    <col min="2" max="3" width="22" customWidth="1"/>
    <col min="4" max="4" width="38" customWidth="1"/>
    <col min="5" max="5" width="24" customWidth="1"/>
    <col min="6" max="6" width="40" customWidth="1"/>
    <col min="7" max="7" width="10" customWidth="1"/>
    <col min="8" max="9" width="12" customWidth="1"/>
    <col min="10" max="10" width="24" customWidth="1"/>
  </cols>
  <sheetData>
    <row r="1" ht="17.55" spans="1:10">
      <c r="A1" s="1" t="s">
        <v>612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613</v>
      </c>
      <c r="B2" s="3"/>
      <c r="C2" s="3"/>
      <c r="D2" s="3"/>
      <c r="E2" s="3"/>
      <c r="F2" s="3"/>
      <c r="G2" s="3"/>
      <c r="H2" s="3"/>
      <c r="I2" s="3"/>
      <c r="J2" s="3"/>
    </row>
    <row r="4" ht="15" customHeight="1" spans="1:10">
      <c r="A4" s="8" t="s">
        <v>50</v>
      </c>
      <c r="B4" s="9" t="s">
        <v>614</v>
      </c>
      <c r="C4" s="9" t="s">
        <v>51</v>
      </c>
      <c r="D4" s="9" t="s">
        <v>615</v>
      </c>
      <c r="E4" s="9" t="s">
        <v>616</v>
      </c>
      <c r="F4" s="9" t="s">
        <v>617</v>
      </c>
      <c r="G4" s="9" t="s">
        <v>618</v>
      </c>
      <c r="H4" s="9" t="s">
        <v>619</v>
      </c>
      <c r="I4" s="9" t="s">
        <v>620</v>
      </c>
      <c r="J4" s="12" t="s">
        <v>21</v>
      </c>
    </row>
    <row r="5" ht="15" customHeight="1" spans="1:10">
      <c r="A5" s="13" t="s">
        <v>55</v>
      </c>
      <c r="B5" s="14" t="s">
        <v>621</v>
      </c>
      <c r="C5" s="14" t="s">
        <v>56</v>
      </c>
      <c r="D5" s="14" t="s">
        <v>622</v>
      </c>
      <c r="E5" s="14" t="s">
        <v>623</v>
      </c>
      <c r="F5" s="14" t="s">
        <v>624</v>
      </c>
      <c r="G5" s="14">
        <v>100</v>
      </c>
      <c r="H5" s="14">
        <v>90</v>
      </c>
      <c r="I5" s="14">
        <v>120</v>
      </c>
      <c r="J5" s="15" t="s">
        <v>625</v>
      </c>
    </row>
    <row r="6" ht="15" customHeight="1" spans="1:10">
      <c r="A6" s="13" t="s">
        <v>60</v>
      </c>
      <c r="B6" s="14" t="s">
        <v>626</v>
      </c>
      <c r="C6" s="14" t="s">
        <v>61</v>
      </c>
      <c r="D6" s="14" t="s">
        <v>627</v>
      </c>
      <c r="E6" s="14" t="s">
        <v>628</v>
      </c>
      <c r="F6" s="14" t="s">
        <v>629</v>
      </c>
      <c r="G6" s="14">
        <v>100</v>
      </c>
      <c r="H6" s="14">
        <v>90</v>
      </c>
      <c r="I6" s="14">
        <v>120</v>
      </c>
      <c r="J6" s="15" t="s">
        <v>625</v>
      </c>
    </row>
    <row r="7" ht="15" customHeight="1" spans="1:10">
      <c r="A7" s="13" t="s">
        <v>62</v>
      </c>
      <c r="B7" s="14" t="s">
        <v>630</v>
      </c>
      <c r="C7" s="14" t="s">
        <v>63</v>
      </c>
      <c r="D7" s="14" t="s">
        <v>631</v>
      </c>
      <c r="E7" s="14" t="s">
        <v>632</v>
      </c>
      <c r="F7" s="14" t="s">
        <v>633</v>
      </c>
      <c r="G7" s="14">
        <v>100</v>
      </c>
      <c r="H7" s="14">
        <v>90</v>
      </c>
      <c r="I7" s="14">
        <v>120</v>
      </c>
      <c r="J7" s="15" t="s">
        <v>625</v>
      </c>
    </row>
    <row r="8" ht="15" customHeight="1" spans="1:10">
      <c r="A8" s="13" t="s">
        <v>64</v>
      </c>
      <c r="B8" s="14" t="s">
        <v>634</v>
      </c>
      <c r="C8" s="14" t="s">
        <v>65</v>
      </c>
      <c r="D8" s="14" t="s">
        <v>635</v>
      </c>
      <c r="E8" s="14" t="s">
        <v>636</v>
      </c>
      <c r="F8" s="14" t="s">
        <v>637</v>
      </c>
      <c r="G8" s="14">
        <v>100</v>
      </c>
      <c r="H8" s="14">
        <v>90</v>
      </c>
      <c r="I8" s="14">
        <v>120</v>
      </c>
      <c r="J8" s="15" t="s">
        <v>625</v>
      </c>
    </row>
    <row r="9" ht="15" customHeight="1" spans="1:10">
      <c r="A9" s="21" t="s">
        <v>66</v>
      </c>
      <c r="B9" s="22" t="s">
        <v>638</v>
      </c>
      <c r="C9" s="22" t="s">
        <v>67</v>
      </c>
      <c r="D9" s="22" t="s">
        <v>639</v>
      </c>
      <c r="E9" s="22" t="s">
        <v>640</v>
      </c>
      <c r="F9" s="22" t="s">
        <v>641</v>
      </c>
      <c r="G9" s="22">
        <v>100</v>
      </c>
      <c r="H9" s="22">
        <v>90</v>
      </c>
      <c r="I9" s="22">
        <v>120</v>
      </c>
      <c r="J9" s="23" t="s">
        <v>625</v>
      </c>
    </row>
  </sheetData>
  <mergeCells count="2">
    <mergeCell ref="A1:J1"/>
    <mergeCell ref="A2:J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5"/>
  <sheetViews>
    <sheetView topLeftCell="A4" workbookViewId="0">
      <selection activeCell="A7" sqref="$A7:$XFD7"/>
    </sheetView>
  </sheetViews>
  <sheetFormatPr defaultColWidth="9" defaultRowHeight="14.1"/>
  <cols>
    <col min="1" max="1" width="6" customWidth="1"/>
    <col min="2" max="2" width="16" customWidth="1"/>
    <col min="3" max="3" width="10" customWidth="1"/>
    <col min="4" max="4" width="8" customWidth="1"/>
    <col min="5" max="5" width="9.14166666666667" customWidth="1"/>
    <col min="6" max="6" width="24" customWidth="1"/>
    <col min="7" max="7" width="22" customWidth="1"/>
    <col min="8" max="8" width="23.7083333333333" customWidth="1"/>
    <col min="9" max="9" width="11.4333333333333" customWidth="1"/>
    <col min="10" max="10" width="17.7083333333333" customWidth="1"/>
    <col min="11" max="11" width="16" customWidth="1"/>
    <col min="12" max="12" width="20" customWidth="1"/>
    <col min="14" max="15" width="16" customWidth="1"/>
  </cols>
  <sheetData>
    <row r="1" ht="17.55" spans="1:17">
      <c r="A1" s="1" t="s">
        <v>642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N1" s="2" t="s">
        <v>643</v>
      </c>
      <c r="O1" s="2"/>
      <c r="P1" s="2"/>
      <c r="Q1" s="2"/>
    </row>
    <row r="2" ht="14.15" spans="1:17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N2" s="4" t="s">
        <v>644</v>
      </c>
      <c r="O2" s="5">
        <v>100</v>
      </c>
    </row>
    <row r="3" ht="14.15" spans="1:17">
      <c r="N3" s="6" t="s">
        <v>645</v>
      </c>
      <c r="O3" s="7">
        <f>SUM(I8:I45)</f>
        <v>0</v>
      </c>
    </row>
    <row r="4" ht="14.15" spans="1:17">
      <c r="N4" s="6" t="s">
        <v>646</v>
      </c>
      <c r="O4" s="7">
        <f>SUMIF(D8:D45,"Part I",I8:I45)</f>
        <v>0</v>
      </c>
    </row>
    <row r="5" ht="14.15" spans="1:17">
      <c r="N5" s="6" t="s">
        <v>647</v>
      </c>
      <c r="O5" s="7">
        <f>SUMIF(D8:D45,"Part II",I8:I45)</f>
        <v>0</v>
      </c>
    </row>
    <row r="6" ht="14.15" customHeight="1" spans="1:17">
      <c r="N6" s="6" t="s">
        <v>648</v>
      </c>
      <c r="O6" s="7">
        <f>SUMIF(D8:D45,"Part III",I8:I45)</f>
        <v>0</v>
      </c>
    </row>
    <row r="7" ht="15" customHeight="1" spans="1:17">
      <c r="A7" s="8" t="s">
        <v>649</v>
      </c>
      <c r="B7" s="9" t="s">
        <v>70</v>
      </c>
      <c r="C7" s="10" t="s">
        <v>650</v>
      </c>
      <c r="D7" s="9" t="s">
        <v>71</v>
      </c>
      <c r="E7" s="9" t="s">
        <v>72</v>
      </c>
      <c r="F7" s="10" t="s">
        <v>73</v>
      </c>
      <c r="G7" s="10" t="s">
        <v>651</v>
      </c>
      <c r="H7" t="s">
        <v>75</v>
      </c>
      <c r="I7" s="9" t="s">
        <v>76</v>
      </c>
      <c r="J7" s="11" t="s">
        <v>652</v>
      </c>
      <c r="K7" s="11" t="s">
        <v>78</v>
      </c>
      <c r="L7" s="11" t="s">
        <v>79</v>
      </c>
      <c r="M7" s="9" t="s">
        <v>53</v>
      </c>
      <c r="N7" s="12" t="s">
        <v>21</v>
      </c>
      <c r="O7" s="7">
        <f>SUMIF(D8:D45,"Part IV",I8:I45)</f>
        <v>0</v>
      </c>
    </row>
    <row r="8" ht="15" customHeight="1" spans="1:17">
      <c r="A8" s="13">
        <v>1</v>
      </c>
      <c r="B8" s="14" t="s">
        <v>80</v>
      </c>
      <c r="C8" s="14" t="s">
        <v>55</v>
      </c>
      <c r="D8" s="14" t="s">
        <v>81</v>
      </c>
      <c r="E8" s="14" t="s">
        <v>82</v>
      </c>
      <c r="F8" s="14" t="s">
        <v>83</v>
      </c>
      <c r="G8" s="14">
        <v>1</v>
      </c>
      <c r="H8" s="14" t="s">
        <v>38</v>
      </c>
      <c r="I8" s="14" t="s">
        <v>84</v>
      </c>
      <c r="J8" s="14" t="s">
        <v>85</v>
      </c>
      <c r="K8" s="14">
        <v>1</v>
      </c>
      <c r="L8" s="15" t="s">
        <v>86</v>
      </c>
      <c r="M8" t="s">
        <v>87</v>
      </c>
      <c r="N8" s="6" t="s">
        <v>88</v>
      </c>
      <c r="O8" s="7">
        <f>SUMIF(D8:D45,"Part V",I8:I45)</f>
        <v>0</v>
      </c>
    </row>
    <row r="9" ht="15" customHeight="1" spans="1:17">
      <c r="A9" s="16">
        <v>2</v>
      </c>
      <c r="B9" s="17" t="s">
        <v>89</v>
      </c>
      <c r="C9" s="17" t="s">
        <v>55</v>
      </c>
      <c r="D9" s="17" t="s">
        <v>81</v>
      </c>
      <c r="E9" s="17" t="s">
        <v>82</v>
      </c>
      <c r="F9" s="17" t="s">
        <v>83</v>
      </c>
      <c r="G9" s="17">
        <v>2</v>
      </c>
      <c r="H9" s="17" t="s">
        <v>90</v>
      </c>
      <c r="I9" s="17" t="s">
        <v>91</v>
      </c>
      <c r="J9" s="17" t="s">
        <v>92</v>
      </c>
      <c r="K9" s="17">
        <v>1</v>
      </c>
      <c r="L9" s="18" t="s">
        <v>86</v>
      </c>
      <c r="M9" t="s">
        <v>93</v>
      </c>
      <c r="N9" s="6" t="s">
        <v>88</v>
      </c>
      <c r="O9" s="7">
        <v>90</v>
      </c>
    </row>
    <row r="10" ht="15" customHeight="1" spans="1:17">
      <c r="A10" s="13">
        <v>3</v>
      </c>
      <c r="B10" s="14" t="s">
        <v>94</v>
      </c>
      <c r="C10" s="14" t="s">
        <v>55</v>
      </c>
      <c r="D10" s="14" t="s">
        <v>81</v>
      </c>
      <c r="E10" s="14" t="s">
        <v>82</v>
      </c>
      <c r="F10" s="14" t="s">
        <v>83</v>
      </c>
      <c r="G10" s="14">
        <v>3</v>
      </c>
      <c r="H10" s="14" t="s">
        <v>33</v>
      </c>
      <c r="I10" s="14" t="s">
        <v>95</v>
      </c>
      <c r="J10" s="14" t="s">
        <v>96</v>
      </c>
      <c r="K10" s="14">
        <v>1</v>
      </c>
      <c r="L10" s="15" t="s">
        <v>86</v>
      </c>
      <c r="M10" t="s">
        <v>87</v>
      </c>
      <c r="N10" s="19" t="s">
        <v>88</v>
      </c>
      <c r="O10" s="20">
        <v>120</v>
      </c>
    </row>
    <row r="11" ht="15" customHeight="1" spans="1:17">
      <c r="A11" s="13">
        <v>4</v>
      </c>
      <c r="B11" s="14" t="s">
        <v>97</v>
      </c>
      <c r="C11" s="14" t="s">
        <v>55</v>
      </c>
      <c r="D11" s="14" t="s">
        <v>81</v>
      </c>
      <c r="E11" s="14" t="s">
        <v>82</v>
      </c>
      <c r="F11" s="14" t="s">
        <v>83</v>
      </c>
      <c r="G11" s="14">
        <v>4</v>
      </c>
      <c r="H11" s="14" t="s">
        <v>38</v>
      </c>
      <c r="I11" s="14" t="s">
        <v>98</v>
      </c>
      <c r="J11" s="14" t="s">
        <v>99</v>
      </c>
      <c r="K11" s="14">
        <v>1</v>
      </c>
      <c r="L11" s="15" t="s">
        <v>86</v>
      </c>
      <c r="M11" t="s">
        <v>87</v>
      </c>
      <c r="N11" t="s">
        <v>88</v>
      </c>
    </row>
    <row r="12" ht="15" customHeight="1" spans="1:17">
      <c r="A12" s="13">
        <v>5</v>
      </c>
      <c r="B12" s="14" t="s">
        <v>100</v>
      </c>
      <c r="C12" s="14" t="s">
        <v>55</v>
      </c>
      <c r="D12" s="14" t="s">
        <v>81</v>
      </c>
      <c r="E12" s="14" t="s">
        <v>82</v>
      </c>
      <c r="F12" s="14" t="s">
        <v>83</v>
      </c>
      <c r="G12" s="14">
        <v>5</v>
      </c>
      <c r="H12" s="14" t="s">
        <v>33</v>
      </c>
      <c r="I12" s="14" t="s">
        <v>101</v>
      </c>
      <c r="J12" s="14" t="s">
        <v>102</v>
      </c>
      <c r="K12" s="14">
        <v>1</v>
      </c>
      <c r="L12" s="15" t="s">
        <v>86</v>
      </c>
      <c r="M12" t="s">
        <v>87</v>
      </c>
      <c r="N12" t="s">
        <v>88</v>
      </c>
    </row>
    <row r="13" ht="15" customHeight="1" spans="1:17">
      <c r="A13" s="13">
        <v>6</v>
      </c>
      <c r="B13" s="14" t="s">
        <v>103</v>
      </c>
      <c r="C13" s="14" t="s">
        <v>55</v>
      </c>
      <c r="D13" s="14" t="s">
        <v>81</v>
      </c>
      <c r="E13" s="14" t="s">
        <v>82</v>
      </c>
      <c r="F13" s="14" t="s">
        <v>83</v>
      </c>
      <c r="G13" s="14">
        <v>6</v>
      </c>
      <c r="H13" s="14" t="s">
        <v>43</v>
      </c>
      <c r="I13" s="14" t="s">
        <v>104</v>
      </c>
      <c r="J13" s="14" t="s">
        <v>105</v>
      </c>
      <c r="K13" s="14">
        <v>1</v>
      </c>
      <c r="L13" s="15" t="s">
        <v>86</v>
      </c>
      <c r="M13" t="s">
        <v>87</v>
      </c>
      <c r="N13" t="s">
        <v>88</v>
      </c>
    </row>
    <row r="14" ht="15" customHeight="1" spans="1:17">
      <c r="A14" s="13">
        <v>7</v>
      </c>
      <c r="B14" s="14" t="s">
        <v>106</v>
      </c>
      <c r="C14" s="14" t="s">
        <v>55</v>
      </c>
      <c r="D14" s="14" t="s">
        <v>81</v>
      </c>
      <c r="E14" s="14" t="s">
        <v>82</v>
      </c>
      <c r="F14" s="14" t="s">
        <v>83</v>
      </c>
      <c r="G14" s="14">
        <v>7</v>
      </c>
      <c r="H14" s="14" t="s">
        <v>43</v>
      </c>
      <c r="I14" s="14" t="s">
        <v>107</v>
      </c>
      <c r="J14" s="14" t="s">
        <v>108</v>
      </c>
      <c r="K14" s="14">
        <v>1</v>
      </c>
      <c r="L14" s="15" t="s">
        <v>86</v>
      </c>
      <c r="M14" t="s">
        <v>87</v>
      </c>
      <c r="N14" t="s">
        <v>88</v>
      </c>
    </row>
    <row r="15" ht="15" customHeight="1" spans="1:17">
      <c r="A15" s="16">
        <v>8</v>
      </c>
      <c r="B15" s="17" t="s">
        <v>109</v>
      </c>
      <c r="C15" s="17" t="s">
        <v>55</v>
      </c>
      <c r="D15" s="17" t="s">
        <v>81</v>
      </c>
      <c r="E15" s="17" t="s">
        <v>82</v>
      </c>
      <c r="F15" s="17" t="s">
        <v>83</v>
      </c>
      <c r="G15" s="17">
        <v>8</v>
      </c>
      <c r="H15" s="17" t="s">
        <v>90</v>
      </c>
      <c r="I15" s="17" t="s">
        <v>110</v>
      </c>
      <c r="J15" s="17" t="s">
        <v>111</v>
      </c>
      <c r="K15" s="17">
        <v>1</v>
      </c>
      <c r="L15" s="18" t="s">
        <v>86</v>
      </c>
      <c r="M15" t="s">
        <v>93</v>
      </c>
      <c r="N15" t="s">
        <v>88</v>
      </c>
    </row>
    <row r="16" ht="15" customHeight="1" spans="1:17">
      <c r="A16" s="13">
        <v>9</v>
      </c>
      <c r="B16" s="14" t="s">
        <v>112</v>
      </c>
      <c r="C16" s="14" t="s">
        <v>55</v>
      </c>
      <c r="D16" s="14" t="s">
        <v>81</v>
      </c>
      <c r="E16" s="14" t="s">
        <v>82</v>
      </c>
      <c r="F16" s="14" t="s">
        <v>83</v>
      </c>
      <c r="G16" s="14">
        <v>9</v>
      </c>
      <c r="H16" s="14" t="s">
        <v>33</v>
      </c>
      <c r="I16" s="14" t="s">
        <v>113</v>
      </c>
      <c r="J16" s="14" t="s">
        <v>114</v>
      </c>
      <c r="K16" s="14">
        <v>1</v>
      </c>
      <c r="L16" s="15" t="s">
        <v>86</v>
      </c>
      <c r="M16" t="s">
        <v>87</v>
      </c>
      <c r="N16" t="s">
        <v>88</v>
      </c>
    </row>
    <row r="17" ht="15" customHeight="1" spans="1:14">
      <c r="A17" s="13">
        <v>10</v>
      </c>
      <c r="B17" s="14" t="s">
        <v>115</v>
      </c>
      <c r="C17" s="14" t="s">
        <v>55</v>
      </c>
      <c r="D17" s="14" t="s">
        <v>81</v>
      </c>
      <c r="E17" s="14" t="s">
        <v>82</v>
      </c>
      <c r="F17" s="14" t="s">
        <v>83</v>
      </c>
      <c r="G17" s="14">
        <v>10</v>
      </c>
      <c r="H17" s="14" t="s">
        <v>38</v>
      </c>
      <c r="I17" s="14" t="s">
        <v>116</v>
      </c>
      <c r="J17" s="14" t="s">
        <v>117</v>
      </c>
      <c r="K17" s="14">
        <v>1</v>
      </c>
      <c r="L17" s="15" t="s">
        <v>86</v>
      </c>
      <c r="M17" t="s">
        <v>87</v>
      </c>
      <c r="N17" t="s">
        <v>88</v>
      </c>
    </row>
    <row r="18" ht="15" customHeight="1" spans="1:14">
      <c r="A18" s="13">
        <v>11</v>
      </c>
      <c r="B18" s="14" t="s">
        <v>238</v>
      </c>
      <c r="C18" s="14" t="s">
        <v>55</v>
      </c>
      <c r="D18" s="14" t="s">
        <v>81</v>
      </c>
      <c r="E18" s="14" t="s">
        <v>239</v>
      </c>
      <c r="F18" s="14" t="s">
        <v>240</v>
      </c>
      <c r="G18" s="14">
        <v>1</v>
      </c>
      <c r="H18" s="14" t="s">
        <v>56</v>
      </c>
      <c r="I18" s="14" t="s">
        <v>241</v>
      </c>
      <c r="J18" s="14" t="s">
        <v>242</v>
      </c>
      <c r="K18" s="14">
        <v>1</v>
      </c>
      <c r="L18" s="15" t="s">
        <v>243</v>
      </c>
      <c r="M18" t="s">
        <v>87</v>
      </c>
      <c r="N18" t="s">
        <v>244</v>
      </c>
    </row>
    <row r="19" ht="15" customHeight="1" spans="1:14">
      <c r="A19" s="13">
        <v>12</v>
      </c>
      <c r="B19" s="14" t="s">
        <v>245</v>
      </c>
      <c r="C19" s="14" t="s">
        <v>55</v>
      </c>
      <c r="D19" s="14" t="s">
        <v>81</v>
      </c>
      <c r="E19" s="14" t="s">
        <v>239</v>
      </c>
      <c r="F19" s="14" t="s">
        <v>240</v>
      </c>
      <c r="G19" s="14">
        <v>2</v>
      </c>
      <c r="H19" s="14" t="s">
        <v>56</v>
      </c>
      <c r="I19" s="14" t="s">
        <v>246</v>
      </c>
      <c r="J19" s="14" t="s">
        <v>247</v>
      </c>
      <c r="K19" s="14">
        <v>1</v>
      </c>
      <c r="L19" s="15" t="s">
        <v>243</v>
      </c>
      <c r="M19" t="s">
        <v>87</v>
      </c>
      <c r="N19" t="s">
        <v>244</v>
      </c>
    </row>
    <row r="20" ht="15" customHeight="1" spans="1:14">
      <c r="A20" s="13">
        <v>13</v>
      </c>
      <c r="B20" s="14" t="s">
        <v>248</v>
      </c>
      <c r="C20" s="14" t="s">
        <v>55</v>
      </c>
      <c r="D20" s="14" t="s">
        <v>81</v>
      </c>
      <c r="E20" s="14" t="s">
        <v>239</v>
      </c>
      <c r="F20" s="14" t="s">
        <v>240</v>
      </c>
      <c r="G20" s="14">
        <v>3</v>
      </c>
      <c r="H20" s="14" t="s">
        <v>56</v>
      </c>
      <c r="I20" s="14" t="s">
        <v>249</v>
      </c>
      <c r="J20" s="14" t="s">
        <v>250</v>
      </c>
      <c r="K20" s="14">
        <v>1</v>
      </c>
      <c r="L20" s="15" t="s">
        <v>243</v>
      </c>
      <c r="M20" t="s">
        <v>87</v>
      </c>
      <c r="N20" t="s">
        <v>244</v>
      </c>
    </row>
    <row r="21" ht="15" customHeight="1" spans="1:14">
      <c r="A21" s="13">
        <v>14</v>
      </c>
      <c r="B21" s="14" t="s">
        <v>251</v>
      </c>
      <c r="C21" s="14" t="s">
        <v>55</v>
      </c>
      <c r="D21" s="14" t="s">
        <v>81</v>
      </c>
      <c r="E21" s="14" t="s">
        <v>239</v>
      </c>
      <c r="F21" s="14" t="s">
        <v>240</v>
      </c>
      <c r="G21" s="14">
        <v>4</v>
      </c>
      <c r="H21" s="14" t="s">
        <v>56</v>
      </c>
      <c r="I21" s="14" t="s">
        <v>252</v>
      </c>
      <c r="J21" s="14" t="s">
        <v>253</v>
      </c>
      <c r="K21" s="14">
        <v>1</v>
      </c>
      <c r="L21" s="15" t="s">
        <v>243</v>
      </c>
      <c r="M21" t="s">
        <v>87</v>
      </c>
      <c r="N21" t="s">
        <v>244</v>
      </c>
    </row>
    <row r="22" ht="15" customHeight="1" spans="1:14">
      <c r="A22" s="13">
        <v>15</v>
      </c>
      <c r="B22" s="14" t="s">
        <v>254</v>
      </c>
      <c r="C22" s="14" t="s">
        <v>55</v>
      </c>
      <c r="D22" s="14" t="s">
        <v>81</v>
      </c>
      <c r="E22" s="14" t="s">
        <v>239</v>
      </c>
      <c r="F22" s="14" t="s">
        <v>240</v>
      </c>
      <c r="G22" s="14">
        <v>5</v>
      </c>
      <c r="H22" s="14" t="s">
        <v>56</v>
      </c>
      <c r="I22" s="14" t="s">
        <v>255</v>
      </c>
      <c r="J22" s="14" t="s">
        <v>256</v>
      </c>
      <c r="K22" s="14">
        <v>1</v>
      </c>
      <c r="L22" s="15" t="s">
        <v>243</v>
      </c>
      <c r="M22" t="s">
        <v>87</v>
      </c>
      <c r="N22" t="s">
        <v>244</v>
      </c>
    </row>
    <row r="23" spans="1:14">
      <c r="A23" s="13">
        <v>16</v>
      </c>
      <c r="B23" s="14" t="s">
        <v>257</v>
      </c>
      <c r="C23" s="14" t="s">
        <v>55</v>
      </c>
      <c r="D23" s="14" t="s">
        <v>81</v>
      </c>
      <c r="E23" s="14" t="s">
        <v>239</v>
      </c>
      <c r="F23" s="14" t="s">
        <v>240</v>
      </c>
      <c r="G23" s="14">
        <v>6</v>
      </c>
      <c r="H23" s="14" t="s">
        <v>56</v>
      </c>
      <c r="I23" s="14" t="s">
        <v>258</v>
      </c>
      <c r="J23" s="14" t="s">
        <v>259</v>
      </c>
      <c r="K23" s="14">
        <v>1</v>
      </c>
      <c r="L23" s="15" t="s">
        <v>243</v>
      </c>
      <c r="M23" t="s">
        <v>87</v>
      </c>
      <c r="N23" t="s">
        <v>244</v>
      </c>
    </row>
    <row r="24" spans="1:14">
      <c r="A24" s="13">
        <v>17</v>
      </c>
      <c r="B24" s="14" t="s">
        <v>260</v>
      </c>
      <c r="C24" s="14" t="s">
        <v>55</v>
      </c>
      <c r="D24" s="14" t="s">
        <v>81</v>
      </c>
      <c r="E24" s="14" t="s">
        <v>239</v>
      </c>
      <c r="F24" s="14" t="s">
        <v>240</v>
      </c>
      <c r="G24" s="14">
        <v>7</v>
      </c>
      <c r="H24" s="14" t="s">
        <v>56</v>
      </c>
      <c r="I24" s="14" t="s">
        <v>261</v>
      </c>
      <c r="J24" s="14" t="s">
        <v>262</v>
      </c>
      <c r="K24" s="14">
        <v>1</v>
      </c>
      <c r="L24" s="15" t="s">
        <v>243</v>
      </c>
      <c r="M24" t="s">
        <v>87</v>
      </c>
      <c r="N24" t="s">
        <v>244</v>
      </c>
    </row>
    <row r="25" spans="1:14">
      <c r="A25" s="13">
        <v>18</v>
      </c>
      <c r="B25" s="14" t="s">
        <v>263</v>
      </c>
      <c r="C25" s="14" t="s">
        <v>55</v>
      </c>
      <c r="D25" s="14" t="s">
        <v>81</v>
      </c>
      <c r="E25" s="14" t="s">
        <v>239</v>
      </c>
      <c r="F25" s="14" t="s">
        <v>240</v>
      </c>
      <c r="G25" s="14">
        <v>8</v>
      </c>
      <c r="H25" s="14" t="s">
        <v>56</v>
      </c>
      <c r="I25" s="14" t="s">
        <v>264</v>
      </c>
      <c r="J25" s="14" t="s">
        <v>265</v>
      </c>
      <c r="K25" s="14">
        <v>1</v>
      </c>
      <c r="L25" s="15" t="s">
        <v>243</v>
      </c>
      <c r="M25" t="s">
        <v>87</v>
      </c>
      <c r="N25" t="s">
        <v>244</v>
      </c>
    </row>
    <row r="26" spans="1:14">
      <c r="A26" s="13">
        <v>19</v>
      </c>
      <c r="B26" s="14" t="s">
        <v>266</v>
      </c>
      <c r="C26" s="14" t="s">
        <v>55</v>
      </c>
      <c r="D26" s="14" t="s">
        <v>81</v>
      </c>
      <c r="E26" s="14" t="s">
        <v>239</v>
      </c>
      <c r="F26" s="14" t="s">
        <v>240</v>
      </c>
      <c r="G26" s="14">
        <v>9</v>
      </c>
      <c r="H26" s="14" t="s">
        <v>56</v>
      </c>
      <c r="I26" s="14" t="s">
        <v>267</v>
      </c>
      <c r="J26" s="14" t="s">
        <v>268</v>
      </c>
      <c r="K26" s="14">
        <v>1</v>
      </c>
      <c r="L26" s="15" t="s">
        <v>243</v>
      </c>
      <c r="M26" t="s">
        <v>87</v>
      </c>
      <c r="N26" t="s">
        <v>244</v>
      </c>
    </row>
    <row r="27" spans="1:14">
      <c r="A27" s="13">
        <v>20</v>
      </c>
      <c r="B27" s="14" t="s">
        <v>269</v>
      </c>
      <c r="C27" s="14" t="s">
        <v>55</v>
      </c>
      <c r="D27" s="14" t="s">
        <v>81</v>
      </c>
      <c r="E27" s="14" t="s">
        <v>239</v>
      </c>
      <c r="F27" s="14" t="s">
        <v>240</v>
      </c>
      <c r="G27" s="14">
        <v>10</v>
      </c>
      <c r="H27" s="14" t="s">
        <v>56</v>
      </c>
      <c r="I27" s="14" t="s">
        <v>270</v>
      </c>
      <c r="J27" s="14" t="s">
        <v>271</v>
      </c>
      <c r="K27" s="14">
        <v>1</v>
      </c>
      <c r="L27" s="15" t="s">
        <v>243</v>
      </c>
      <c r="M27" t="s">
        <v>87</v>
      </c>
      <c r="N27" t="s">
        <v>244</v>
      </c>
    </row>
    <row r="28" spans="1:14">
      <c r="A28" s="13">
        <v>21</v>
      </c>
      <c r="B28" s="14" t="s">
        <v>475</v>
      </c>
      <c r="C28" s="14" t="s">
        <v>55</v>
      </c>
      <c r="D28" s="14" t="s">
        <v>476</v>
      </c>
      <c r="E28" s="14" t="s">
        <v>477</v>
      </c>
      <c r="F28" s="14" t="s">
        <v>478</v>
      </c>
      <c r="G28" s="14">
        <v>1</v>
      </c>
      <c r="H28" s="14" t="s">
        <v>479</v>
      </c>
      <c r="I28" s="14" t="s">
        <v>480</v>
      </c>
      <c r="J28" s="14" t="s">
        <v>481</v>
      </c>
      <c r="K28" s="14">
        <v>2</v>
      </c>
      <c r="L28" s="15" t="s">
        <v>243</v>
      </c>
      <c r="M28" t="s">
        <v>482</v>
      </c>
      <c r="N28" t="s">
        <v>483</v>
      </c>
    </row>
    <row r="29" spans="1:14">
      <c r="A29" s="13">
        <v>22</v>
      </c>
      <c r="B29" s="14" t="s">
        <v>484</v>
      </c>
      <c r="C29" s="14" t="s">
        <v>55</v>
      </c>
      <c r="D29" s="14" t="s">
        <v>476</v>
      </c>
      <c r="E29" s="14" t="s">
        <v>477</v>
      </c>
      <c r="F29" s="14" t="s">
        <v>478</v>
      </c>
      <c r="G29" s="14">
        <v>2</v>
      </c>
      <c r="H29" s="14" t="s">
        <v>479</v>
      </c>
      <c r="I29" s="14" t="s">
        <v>480</v>
      </c>
      <c r="J29" s="14" t="s">
        <v>485</v>
      </c>
      <c r="K29" s="14">
        <v>2</v>
      </c>
      <c r="L29" s="15" t="s">
        <v>243</v>
      </c>
      <c r="M29" t="s">
        <v>482</v>
      </c>
      <c r="N29" t="s">
        <v>483</v>
      </c>
    </row>
    <row r="30" spans="1:14">
      <c r="A30" s="13">
        <v>23</v>
      </c>
      <c r="B30" s="14" t="s">
        <v>486</v>
      </c>
      <c r="C30" s="14" t="s">
        <v>55</v>
      </c>
      <c r="D30" s="14" t="s">
        <v>476</v>
      </c>
      <c r="E30" s="14" t="s">
        <v>477</v>
      </c>
      <c r="F30" s="14" t="s">
        <v>478</v>
      </c>
      <c r="G30" s="14">
        <v>3</v>
      </c>
      <c r="H30" s="14" t="s">
        <v>479</v>
      </c>
      <c r="I30" s="14" t="s">
        <v>480</v>
      </c>
      <c r="J30" s="14" t="s">
        <v>487</v>
      </c>
      <c r="K30" s="14">
        <v>2</v>
      </c>
      <c r="L30" s="15" t="s">
        <v>243</v>
      </c>
      <c r="M30" t="s">
        <v>482</v>
      </c>
      <c r="N30" t="s">
        <v>483</v>
      </c>
    </row>
    <row r="31" spans="1:14">
      <c r="A31" s="13">
        <v>24</v>
      </c>
      <c r="B31" s="14" t="s">
        <v>488</v>
      </c>
      <c r="C31" s="14" t="s">
        <v>55</v>
      </c>
      <c r="D31" s="14" t="s">
        <v>476</v>
      </c>
      <c r="E31" s="14" t="s">
        <v>477</v>
      </c>
      <c r="F31" s="14" t="s">
        <v>478</v>
      </c>
      <c r="G31" s="14">
        <v>4</v>
      </c>
      <c r="H31" s="14" t="s">
        <v>479</v>
      </c>
      <c r="I31" s="14" t="s">
        <v>480</v>
      </c>
      <c r="J31" s="14" t="s">
        <v>489</v>
      </c>
      <c r="K31" s="14">
        <v>2</v>
      </c>
      <c r="L31" s="15" t="s">
        <v>243</v>
      </c>
      <c r="M31" t="s">
        <v>482</v>
      </c>
      <c r="N31" t="s">
        <v>483</v>
      </c>
    </row>
    <row r="32" spans="1:14">
      <c r="A32" s="13">
        <v>25</v>
      </c>
      <c r="B32" s="14" t="s">
        <v>490</v>
      </c>
      <c r="C32" s="14" t="s">
        <v>55</v>
      </c>
      <c r="D32" s="14" t="s">
        <v>476</v>
      </c>
      <c r="E32" s="14" t="s">
        <v>477</v>
      </c>
      <c r="F32" s="14" t="s">
        <v>478</v>
      </c>
      <c r="G32" s="14">
        <v>5</v>
      </c>
      <c r="H32" s="14" t="s">
        <v>479</v>
      </c>
      <c r="I32" s="14" t="s">
        <v>480</v>
      </c>
      <c r="J32" s="14" t="s">
        <v>491</v>
      </c>
      <c r="K32" s="14">
        <v>2</v>
      </c>
      <c r="L32" s="15" t="s">
        <v>243</v>
      </c>
      <c r="M32" t="s">
        <v>482</v>
      </c>
      <c r="N32" t="s">
        <v>483</v>
      </c>
    </row>
    <row r="33" spans="1:14">
      <c r="A33" s="13">
        <v>26</v>
      </c>
      <c r="B33" s="14" t="s">
        <v>492</v>
      </c>
      <c r="C33" s="14" t="s">
        <v>55</v>
      </c>
      <c r="D33" s="14" t="s">
        <v>476</v>
      </c>
      <c r="E33" s="14" t="s">
        <v>477</v>
      </c>
      <c r="F33" s="14" t="s">
        <v>478</v>
      </c>
      <c r="G33" s="14">
        <v>6</v>
      </c>
      <c r="H33" s="14" t="s">
        <v>479</v>
      </c>
      <c r="I33" s="14" t="s">
        <v>493</v>
      </c>
      <c r="J33" s="14" t="s">
        <v>494</v>
      </c>
      <c r="K33" s="14">
        <v>2</v>
      </c>
      <c r="L33" s="15" t="s">
        <v>243</v>
      </c>
      <c r="M33" t="s">
        <v>482</v>
      </c>
      <c r="N33" t="s">
        <v>495</v>
      </c>
    </row>
    <row r="34" spans="1:14">
      <c r="A34" s="13">
        <v>27</v>
      </c>
      <c r="B34" s="14" t="s">
        <v>496</v>
      </c>
      <c r="C34" s="14" t="s">
        <v>55</v>
      </c>
      <c r="D34" s="14" t="s">
        <v>476</v>
      </c>
      <c r="E34" s="14" t="s">
        <v>477</v>
      </c>
      <c r="F34" s="14" t="s">
        <v>478</v>
      </c>
      <c r="G34" s="14">
        <v>7</v>
      </c>
      <c r="H34" s="14" t="s">
        <v>479</v>
      </c>
      <c r="I34" s="14" t="s">
        <v>493</v>
      </c>
      <c r="J34" s="14" t="s">
        <v>497</v>
      </c>
      <c r="K34" s="14">
        <v>2</v>
      </c>
      <c r="L34" s="15" t="s">
        <v>243</v>
      </c>
      <c r="M34" t="s">
        <v>482</v>
      </c>
      <c r="N34" t="s">
        <v>495</v>
      </c>
    </row>
    <row r="35" spans="1:14">
      <c r="A35" s="13">
        <v>28</v>
      </c>
      <c r="B35" s="14" t="s">
        <v>498</v>
      </c>
      <c r="C35" s="14" t="s">
        <v>55</v>
      </c>
      <c r="D35" s="14" t="s">
        <v>476</v>
      </c>
      <c r="E35" s="14" t="s">
        <v>477</v>
      </c>
      <c r="F35" s="14" t="s">
        <v>478</v>
      </c>
      <c r="G35" s="14">
        <v>8</v>
      </c>
      <c r="H35" s="14" t="s">
        <v>479</v>
      </c>
      <c r="I35" s="14" t="s">
        <v>493</v>
      </c>
      <c r="J35" s="14" t="s">
        <v>499</v>
      </c>
      <c r="K35" s="14">
        <v>2</v>
      </c>
      <c r="L35" s="15" t="s">
        <v>243</v>
      </c>
      <c r="M35" t="s">
        <v>482</v>
      </c>
      <c r="N35" t="s">
        <v>495</v>
      </c>
    </row>
    <row r="36" spans="1:14">
      <c r="A36" s="13">
        <v>29</v>
      </c>
      <c r="B36" s="14" t="s">
        <v>500</v>
      </c>
      <c r="C36" s="14" t="s">
        <v>55</v>
      </c>
      <c r="D36" s="14" t="s">
        <v>476</v>
      </c>
      <c r="E36" s="14" t="s">
        <v>477</v>
      </c>
      <c r="F36" s="14" t="s">
        <v>478</v>
      </c>
      <c r="G36" s="14">
        <v>9</v>
      </c>
      <c r="H36" s="14" t="s">
        <v>479</v>
      </c>
      <c r="I36" s="14" t="s">
        <v>493</v>
      </c>
      <c r="J36" s="14" t="s">
        <v>501</v>
      </c>
      <c r="K36" s="14">
        <v>2</v>
      </c>
      <c r="L36" s="15" t="s">
        <v>243</v>
      </c>
      <c r="M36" t="s">
        <v>482</v>
      </c>
      <c r="N36" t="s">
        <v>495</v>
      </c>
    </row>
    <row r="37" spans="1:14">
      <c r="A37" s="13">
        <v>30</v>
      </c>
      <c r="B37" s="14" t="s">
        <v>502</v>
      </c>
      <c r="C37" s="14" t="s">
        <v>55</v>
      </c>
      <c r="D37" s="14" t="s">
        <v>476</v>
      </c>
      <c r="E37" s="14" t="s">
        <v>477</v>
      </c>
      <c r="F37" s="14" t="s">
        <v>478</v>
      </c>
      <c r="G37" s="14">
        <v>10</v>
      </c>
      <c r="H37" s="14" t="s">
        <v>479</v>
      </c>
      <c r="I37" s="14" t="s">
        <v>493</v>
      </c>
      <c r="J37" s="14" t="s">
        <v>503</v>
      </c>
      <c r="K37" s="14">
        <v>2</v>
      </c>
      <c r="L37" s="15" t="s">
        <v>243</v>
      </c>
      <c r="M37" t="s">
        <v>482</v>
      </c>
      <c r="N37" t="s">
        <v>495</v>
      </c>
    </row>
    <row r="38" spans="1:14">
      <c r="A38" s="13">
        <v>31</v>
      </c>
      <c r="B38" s="14" t="s">
        <v>392</v>
      </c>
      <c r="C38" s="14" t="s">
        <v>55</v>
      </c>
      <c r="D38" s="14" t="s">
        <v>81</v>
      </c>
      <c r="E38" s="14" t="s">
        <v>393</v>
      </c>
      <c r="F38" s="14" t="s">
        <v>394</v>
      </c>
      <c r="G38" s="14">
        <v>1</v>
      </c>
      <c r="H38" s="14" t="s">
        <v>395</v>
      </c>
      <c r="I38" s="14" t="s">
        <v>396</v>
      </c>
      <c r="J38" s="14" t="s">
        <v>397</v>
      </c>
      <c r="K38" s="14">
        <v>5</v>
      </c>
      <c r="L38" s="15" t="s">
        <v>243</v>
      </c>
      <c r="M38" t="s">
        <v>398</v>
      </c>
      <c r="N38" t="s">
        <v>399</v>
      </c>
    </row>
    <row r="39" spans="1:14">
      <c r="A39" s="13">
        <v>32</v>
      </c>
      <c r="B39" s="14" t="s">
        <v>406</v>
      </c>
      <c r="C39" s="14" t="s">
        <v>55</v>
      </c>
      <c r="D39" s="14" t="s">
        <v>81</v>
      </c>
      <c r="E39" s="14" t="s">
        <v>393</v>
      </c>
      <c r="F39" s="14" t="s">
        <v>407</v>
      </c>
      <c r="G39" s="14">
        <v>1</v>
      </c>
      <c r="H39" s="14" t="s">
        <v>408</v>
      </c>
      <c r="I39" s="14" t="s">
        <v>409</v>
      </c>
      <c r="J39" s="14" t="s">
        <v>410</v>
      </c>
      <c r="K39" s="14">
        <v>5</v>
      </c>
      <c r="L39" s="15" t="s">
        <v>243</v>
      </c>
      <c r="M39" t="s">
        <v>411</v>
      </c>
      <c r="N39" t="s">
        <v>412</v>
      </c>
    </row>
    <row r="40" spans="1:14">
      <c r="A40" s="13">
        <v>33</v>
      </c>
      <c r="B40" s="14" t="s">
        <v>400</v>
      </c>
      <c r="C40" s="14" t="s">
        <v>55</v>
      </c>
      <c r="D40" s="14" t="s">
        <v>81</v>
      </c>
      <c r="E40" s="14" t="s">
        <v>393</v>
      </c>
      <c r="F40" s="14" t="s">
        <v>394</v>
      </c>
      <c r="G40" s="14">
        <v>2</v>
      </c>
      <c r="H40" s="14" t="s">
        <v>395</v>
      </c>
      <c r="I40" s="14" t="s">
        <v>396</v>
      </c>
      <c r="J40" s="14" t="s">
        <v>401</v>
      </c>
      <c r="K40" s="14">
        <v>5</v>
      </c>
      <c r="L40" s="15" t="s">
        <v>243</v>
      </c>
      <c r="M40" t="s">
        <v>398</v>
      </c>
      <c r="N40" t="s">
        <v>399</v>
      </c>
    </row>
    <row r="41" spans="1:14">
      <c r="A41" s="13">
        <v>34</v>
      </c>
      <c r="B41" s="14" t="s">
        <v>413</v>
      </c>
      <c r="C41" s="14" t="s">
        <v>55</v>
      </c>
      <c r="D41" s="14" t="s">
        <v>81</v>
      </c>
      <c r="E41" s="14" t="s">
        <v>393</v>
      </c>
      <c r="F41" s="14" t="s">
        <v>407</v>
      </c>
      <c r="G41" s="14">
        <v>2</v>
      </c>
      <c r="H41" s="14" t="s">
        <v>408</v>
      </c>
      <c r="I41" s="14" t="s">
        <v>409</v>
      </c>
      <c r="J41" s="14" t="s">
        <v>414</v>
      </c>
      <c r="K41" s="14">
        <v>5</v>
      </c>
      <c r="L41" s="15" t="s">
        <v>243</v>
      </c>
      <c r="M41" t="s">
        <v>411</v>
      </c>
      <c r="N41" t="s">
        <v>412</v>
      </c>
    </row>
    <row r="42" spans="1:14">
      <c r="A42" s="13">
        <v>35</v>
      </c>
      <c r="B42" s="14" t="s">
        <v>402</v>
      </c>
      <c r="C42" s="14" t="s">
        <v>55</v>
      </c>
      <c r="D42" s="14" t="s">
        <v>81</v>
      </c>
      <c r="E42" s="14" t="s">
        <v>393</v>
      </c>
      <c r="F42" s="14" t="s">
        <v>394</v>
      </c>
      <c r="G42" s="14">
        <v>3</v>
      </c>
      <c r="H42" s="14" t="s">
        <v>395</v>
      </c>
      <c r="I42" s="14" t="s">
        <v>396</v>
      </c>
      <c r="J42" s="14" t="s">
        <v>403</v>
      </c>
      <c r="K42" s="14">
        <v>5</v>
      </c>
      <c r="L42" s="15" t="s">
        <v>243</v>
      </c>
      <c r="M42" t="s">
        <v>398</v>
      </c>
      <c r="N42" t="s">
        <v>399</v>
      </c>
    </row>
    <row r="43" spans="1:14">
      <c r="A43" s="13">
        <v>36</v>
      </c>
      <c r="B43" s="14" t="s">
        <v>415</v>
      </c>
      <c r="C43" s="14" t="s">
        <v>55</v>
      </c>
      <c r="D43" s="14" t="s">
        <v>81</v>
      </c>
      <c r="E43" s="14" t="s">
        <v>393</v>
      </c>
      <c r="F43" s="14" t="s">
        <v>407</v>
      </c>
      <c r="G43" s="14">
        <v>3</v>
      </c>
      <c r="H43" s="14" t="s">
        <v>408</v>
      </c>
      <c r="I43" s="14" t="s">
        <v>409</v>
      </c>
      <c r="J43" s="14" t="s">
        <v>416</v>
      </c>
      <c r="K43" s="14">
        <v>5</v>
      </c>
      <c r="L43" s="15" t="s">
        <v>243</v>
      </c>
      <c r="M43" t="s">
        <v>411</v>
      </c>
      <c r="N43" t="s">
        <v>412</v>
      </c>
    </row>
    <row r="44" spans="1:14">
      <c r="A44" s="13">
        <v>37</v>
      </c>
      <c r="B44" s="14" t="s">
        <v>404</v>
      </c>
      <c r="C44" s="14" t="s">
        <v>55</v>
      </c>
      <c r="D44" s="14" t="s">
        <v>81</v>
      </c>
      <c r="E44" s="14" t="s">
        <v>393</v>
      </c>
      <c r="F44" s="14" t="s">
        <v>394</v>
      </c>
      <c r="G44" s="14">
        <v>4</v>
      </c>
      <c r="H44" s="14" t="s">
        <v>395</v>
      </c>
      <c r="I44" s="14" t="s">
        <v>396</v>
      </c>
      <c r="J44" s="14" t="s">
        <v>405</v>
      </c>
      <c r="K44" s="14">
        <v>5</v>
      </c>
      <c r="L44" s="15" t="s">
        <v>243</v>
      </c>
      <c r="M44" t="s">
        <v>398</v>
      </c>
      <c r="N44" t="s">
        <v>399</v>
      </c>
    </row>
    <row r="45" spans="1:14">
      <c r="A45" s="21">
        <v>38</v>
      </c>
      <c r="B45" s="22" t="s">
        <v>592</v>
      </c>
      <c r="C45" s="22" t="s">
        <v>55</v>
      </c>
      <c r="D45" s="22" t="s">
        <v>476</v>
      </c>
      <c r="E45" s="22" t="s">
        <v>593</v>
      </c>
      <c r="F45" s="22" t="s">
        <v>594</v>
      </c>
      <c r="G45" s="22">
        <v>1</v>
      </c>
      <c r="H45" s="22" t="s">
        <v>595</v>
      </c>
      <c r="I45" s="22" t="s">
        <v>596</v>
      </c>
      <c r="J45" s="22" t="s">
        <v>597</v>
      </c>
      <c r="K45" s="22">
        <v>25</v>
      </c>
      <c r="L45" s="23" t="s">
        <v>243</v>
      </c>
      <c r="M45" t="s">
        <v>598</v>
      </c>
      <c r="N45" t="s">
        <v>599</v>
      </c>
    </row>
  </sheetData>
  <mergeCells count="3">
    <mergeCell ref="A1:L1"/>
    <mergeCell ref="N1:Q1"/>
    <mergeCell ref="A2:L2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5"/>
  <sheetViews>
    <sheetView topLeftCell="I1" workbookViewId="0">
      <selection activeCell="A7" sqref="$A7:$XFD7"/>
    </sheetView>
  </sheetViews>
  <sheetFormatPr defaultColWidth="9" defaultRowHeight="14.1"/>
  <cols>
    <col min="1" max="1" width="6" customWidth="1"/>
    <col min="2" max="2" width="16" customWidth="1"/>
    <col min="3" max="3" width="10" customWidth="1"/>
    <col min="4" max="4" width="8" customWidth="1"/>
    <col min="5" max="5" width="18" customWidth="1"/>
    <col min="6" max="6" width="24" customWidth="1"/>
    <col min="7" max="7" width="22" customWidth="1"/>
    <col min="8" max="8" width="80" customWidth="1"/>
    <col min="9" max="10" width="8" customWidth="1"/>
    <col min="11" max="11" width="16" customWidth="1"/>
    <col min="12" max="12" width="20" customWidth="1"/>
    <col min="14" max="15" width="16" customWidth="1"/>
  </cols>
  <sheetData>
    <row r="1" ht="17.55" spans="1:1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N1" s="2" t="s">
        <v>643</v>
      </c>
      <c r="O1" s="2"/>
      <c r="P1" s="2"/>
      <c r="Q1" s="2"/>
    </row>
    <row r="2" ht="14.15" spans="1:17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N2" s="4" t="s">
        <v>644</v>
      </c>
      <c r="O2" s="5">
        <v>100</v>
      </c>
    </row>
    <row r="3" ht="14.15" spans="1:17">
      <c r="N3" s="6" t="s">
        <v>645</v>
      </c>
      <c r="O3" s="7">
        <f>SUM(I8:I45)</f>
        <v>0</v>
      </c>
    </row>
    <row r="4" ht="14.15" spans="1:17">
      <c r="N4" s="6" t="s">
        <v>646</v>
      </c>
      <c r="O4" s="7">
        <f>SUMIF(D8:D45,"Part I",I8:I45)</f>
        <v>0</v>
      </c>
    </row>
    <row r="5" ht="14.15" spans="1:17">
      <c r="N5" s="6" t="s">
        <v>647</v>
      </c>
      <c r="O5" s="7">
        <f>SUMIF(D8:D45,"Part II",I8:I45)</f>
        <v>0</v>
      </c>
    </row>
    <row r="6" ht="14.15" spans="1:17">
      <c r="N6" s="6" t="s">
        <v>648</v>
      </c>
      <c r="O6" s="7">
        <f>SUMIF(D8:D45,"Part III",I8:I45)</f>
        <v>0</v>
      </c>
    </row>
    <row r="7" ht="15" customHeight="1" spans="1:17">
      <c r="A7" s="8" t="s">
        <v>649</v>
      </c>
      <c r="B7" s="9" t="s">
        <v>70</v>
      </c>
      <c r="C7" s="10" t="s">
        <v>650</v>
      </c>
      <c r="D7" s="9" t="s">
        <v>71</v>
      </c>
      <c r="E7" s="9" t="s">
        <v>72</v>
      </c>
      <c r="F7" s="10" t="s">
        <v>73</v>
      </c>
      <c r="G7" s="10" t="s">
        <v>651</v>
      </c>
      <c r="H7" t="s">
        <v>75</v>
      </c>
      <c r="I7" s="9" t="s">
        <v>76</v>
      </c>
      <c r="J7" s="11" t="s">
        <v>652</v>
      </c>
      <c r="K7" s="11" t="s">
        <v>78</v>
      </c>
      <c r="L7" s="11" t="s">
        <v>79</v>
      </c>
      <c r="M7" s="9" t="s">
        <v>53</v>
      </c>
      <c r="N7" s="12" t="s">
        <v>21</v>
      </c>
      <c r="O7" s="7">
        <f>SUMIF(D8:D45,"Part IV",I8:I45)</f>
        <v>0</v>
      </c>
    </row>
    <row r="8" ht="15" customHeight="1" spans="1:17">
      <c r="A8" s="13">
        <v>1</v>
      </c>
      <c r="B8" s="14" t="s">
        <v>118</v>
      </c>
      <c r="C8" s="14" t="s">
        <v>60</v>
      </c>
      <c r="D8" s="14" t="s">
        <v>81</v>
      </c>
      <c r="E8" s="14" t="s">
        <v>82</v>
      </c>
      <c r="F8" s="14" t="s">
        <v>83</v>
      </c>
      <c r="G8" s="14">
        <v>1</v>
      </c>
      <c r="H8" s="14" t="s">
        <v>33</v>
      </c>
      <c r="I8" s="14" t="s">
        <v>119</v>
      </c>
      <c r="J8" s="14" t="s">
        <v>120</v>
      </c>
      <c r="K8" s="14">
        <v>1</v>
      </c>
      <c r="L8" s="15" t="s">
        <v>86</v>
      </c>
      <c r="M8" t="s">
        <v>87</v>
      </c>
      <c r="N8" s="6" t="s">
        <v>88</v>
      </c>
      <c r="O8" s="7">
        <f>SUMIF(D8:D45,"Part V",I8:I45)</f>
        <v>0</v>
      </c>
    </row>
    <row r="9" ht="15" customHeight="1" spans="1:17">
      <c r="A9" s="13">
        <v>2</v>
      </c>
      <c r="B9" s="14" t="s">
        <v>121</v>
      </c>
      <c r="C9" s="14" t="s">
        <v>60</v>
      </c>
      <c r="D9" s="14" t="s">
        <v>81</v>
      </c>
      <c r="E9" s="14" t="s">
        <v>82</v>
      </c>
      <c r="F9" s="14" t="s">
        <v>83</v>
      </c>
      <c r="G9" s="14">
        <v>2</v>
      </c>
      <c r="H9" s="14" t="s">
        <v>43</v>
      </c>
      <c r="I9" s="14" t="s">
        <v>122</v>
      </c>
      <c r="J9" s="14" t="s">
        <v>123</v>
      </c>
      <c r="K9" s="14">
        <v>1</v>
      </c>
      <c r="L9" s="15" t="s">
        <v>86</v>
      </c>
      <c r="M9" t="s">
        <v>87</v>
      </c>
      <c r="N9" s="6" t="s">
        <v>88</v>
      </c>
      <c r="O9" s="7">
        <v>90</v>
      </c>
    </row>
    <row r="10" ht="15" customHeight="1" spans="1:17">
      <c r="A10" s="16">
        <v>3</v>
      </c>
      <c r="B10" s="17" t="s">
        <v>124</v>
      </c>
      <c r="C10" s="17" t="s">
        <v>60</v>
      </c>
      <c r="D10" s="17" t="s">
        <v>81</v>
      </c>
      <c r="E10" s="17" t="s">
        <v>82</v>
      </c>
      <c r="F10" s="17" t="s">
        <v>83</v>
      </c>
      <c r="G10" s="17">
        <v>3</v>
      </c>
      <c r="H10" s="17" t="s">
        <v>90</v>
      </c>
      <c r="I10" s="17" t="s">
        <v>125</v>
      </c>
      <c r="J10" s="17" t="s">
        <v>126</v>
      </c>
      <c r="K10" s="17">
        <v>1</v>
      </c>
      <c r="L10" s="18" t="s">
        <v>86</v>
      </c>
      <c r="M10" t="s">
        <v>93</v>
      </c>
      <c r="N10" s="19" t="s">
        <v>88</v>
      </c>
      <c r="O10" s="20">
        <v>120</v>
      </c>
    </row>
    <row r="11" ht="15" customHeight="1" spans="1:17">
      <c r="A11" s="13">
        <v>4</v>
      </c>
      <c r="B11" s="14" t="s">
        <v>127</v>
      </c>
      <c r="C11" s="14" t="s">
        <v>60</v>
      </c>
      <c r="D11" s="14" t="s">
        <v>81</v>
      </c>
      <c r="E11" s="14" t="s">
        <v>82</v>
      </c>
      <c r="F11" s="14" t="s">
        <v>83</v>
      </c>
      <c r="G11" s="14">
        <v>4</v>
      </c>
      <c r="H11" s="14" t="s">
        <v>33</v>
      </c>
      <c r="I11" s="14" t="s">
        <v>128</v>
      </c>
      <c r="J11" s="14" t="s">
        <v>129</v>
      </c>
      <c r="K11" s="14">
        <v>1</v>
      </c>
      <c r="L11" s="15" t="s">
        <v>86</v>
      </c>
      <c r="M11" t="s">
        <v>87</v>
      </c>
      <c r="N11" t="s">
        <v>88</v>
      </c>
    </row>
    <row r="12" ht="15" customHeight="1" spans="1:17">
      <c r="A12" s="13">
        <v>5</v>
      </c>
      <c r="B12" s="14" t="s">
        <v>130</v>
      </c>
      <c r="C12" s="14" t="s">
        <v>60</v>
      </c>
      <c r="D12" s="14" t="s">
        <v>81</v>
      </c>
      <c r="E12" s="14" t="s">
        <v>82</v>
      </c>
      <c r="F12" s="14" t="s">
        <v>83</v>
      </c>
      <c r="G12" s="14">
        <v>5</v>
      </c>
      <c r="H12" s="14" t="s">
        <v>33</v>
      </c>
      <c r="I12" s="14" t="s">
        <v>131</v>
      </c>
      <c r="J12" s="14" t="s">
        <v>132</v>
      </c>
      <c r="K12" s="14">
        <v>1</v>
      </c>
      <c r="L12" s="15" t="s">
        <v>86</v>
      </c>
      <c r="M12" t="s">
        <v>87</v>
      </c>
      <c r="N12" t="s">
        <v>88</v>
      </c>
    </row>
    <row r="13" ht="15" customHeight="1" spans="1:17">
      <c r="A13" s="16">
        <v>6</v>
      </c>
      <c r="B13" s="17" t="s">
        <v>133</v>
      </c>
      <c r="C13" s="17" t="s">
        <v>60</v>
      </c>
      <c r="D13" s="17" t="s">
        <v>81</v>
      </c>
      <c r="E13" s="17" t="s">
        <v>82</v>
      </c>
      <c r="F13" s="17" t="s">
        <v>83</v>
      </c>
      <c r="G13" s="17">
        <v>6</v>
      </c>
      <c r="H13" s="17" t="s">
        <v>90</v>
      </c>
      <c r="I13" s="17" t="s">
        <v>134</v>
      </c>
      <c r="J13" s="17" t="s">
        <v>135</v>
      </c>
      <c r="K13" s="17">
        <v>1</v>
      </c>
      <c r="L13" s="18" t="s">
        <v>86</v>
      </c>
      <c r="M13" t="s">
        <v>93</v>
      </c>
      <c r="N13" t="s">
        <v>88</v>
      </c>
    </row>
    <row r="14" ht="15" customHeight="1" spans="1:17">
      <c r="A14" s="13">
        <v>7</v>
      </c>
      <c r="B14" s="14" t="s">
        <v>136</v>
      </c>
      <c r="C14" s="14" t="s">
        <v>60</v>
      </c>
      <c r="D14" s="14" t="s">
        <v>81</v>
      </c>
      <c r="E14" s="14" t="s">
        <v>82</v>
      </c>
      <c r="F14" s="14" t="s">
        <v>83</v>
      </c>
      <c r="G14" s="14">
        <v>7</v>
      </c>
      <c r="H14" s="14" t="s">
        <v>43</v>
      </c>
      <c r="I14" s="14" t="s">
        <v>137</v>
      </c>
      <c r="J14" s="14" t="s">
        <v>138</v>
      </c>
      <c r="K14" s="14">
        <v>1</v>
      </c>
      <c r="L14" s="15" t="s">
        <v>86</v>
      </c>
      <c r="M14" t="s">
        <v>87</v>
      </c>
      <c r="N14" t="s">
        <v>88</v>
      </c>
    </row>
    <row r="15" ht="15" customHeight="1" spans="1:17">
      <c r="A15" s="13">
        <v>8</v>
      </c>
      <c r="B15" s="14" t="s">
        <v>139</v>
      </c>
      <c r="C15" s="14" t="s">
        <v>60</v>
      </c>
      <c r="D15" s="14" t="s">
        <v>81</v>
      </c>
      <c r="E15" s="14" t="s">
        <v>82</v>
      </c>
      <c r="F15" s="14" t="s">
        <v>83</v>
      </c>
      <c r="G15" s="14">
        <v>8</v>
      </c>
      <c r="H15" s="14" t="s">
        <v>43</v>
      </c>
      <c r="I15" s="14" t="s">
        <v>140</v>
      </c>
      <c r="J15" s="14" t="s">
        <v>141</v>
      </c>
      <c r="K15" s="14">
        <v>1</v>
      </c>
      <c r="L15" s="15" t="s">
        <v>86</v>
      </c>
      <c r="M15" t="s">
        <v>87</v>
      </c>
      <c r="N15" t="s">
        <v>88</v>
      </c>
    </row>
    <row r="16" ht="15" customHeight="1" spans="1:17">
      <c r="A16" s="13">
        <v>9</v>
      </c>
      <c r="B16" s="14" t="s">
        <v>142</v>
      </c>
      <c r="C16" s="14" t="s">
        <v>60</v>
      </c>
      <c r="D16" s="14" t="s">
        <v>81</v>
      </c>
      <c r="E16" s="14" t="s">
        <v>82</v>
      </c>
      <c r="F16" s="14" t="s">
        <v>83</v>
      </c>
      <c r="G16" s="14">
        <v>9</v>
      </c>
      <c r="H16" s="14" t="s">
        <v>38</v>
      </c>
      <c r="I16" s="14" t="s">
        <v>143</v>
      </c>
      <c r="J16" s="14" t="s">
        <v>144</v>
      </c>
      <c r="K16" s="14">
        <v>1</v>
      </c>
      <c r="L16" s="15" t="s">
        <v>86</v>
      </c>
      <c r="M16" t="s">
        <v>87</v>
      </c>
      <c r="N16" t="s">
        <v>88</v>
      </c>
    </row>
    <row r="17" ht="15" customHeight="1" spans="1:14">
      <c r="A17" s="16">
        <v>10</v>
      </c>
      <c r="B17" s="17" t="s">
        <v>145</v>
      </c>
      <c r="C17" s="17" t="s">
        <v>60</v>
      </c>
      <c r="D17" s="17" t="s">
        <v>81</v>
      </c>
      <c r="E17" s="17" t="s">
        <v>82</v>
      </c>
      <c r="F17" s="17" t="s">
        <v>83</v>
      </c>
      <c r="G17" s="17">
        <v>10</v>
      </c>
      <c r="H17" s="17" t="s">
        <v>90</v>
      </c>
      <c r="I17" s="17" t="s">
        <v>146</v>
      </c>
      <c r="J17" s="17" t="s">
        <v>147</v>
      </c>
      <c r="K17" s="17">
        <v>1</v>
      </c>
      <c r="L17" s="18" t="s">
        <v>86</v>
      </c>
      <c r="M17" t="s">
        <v>93</v>
      </c>
      <c r="N17" t="s">
        <v>88</v>
      </c>
    </row>
    <row r="18" ht="15" customHeight="1" spans="1:14">
      <c r="A18" s="13">
        <v>11</v>
      </c>
      <c r="B18" s="14" t="s">
        <v>272</v>
      </c>
      <c r="C18" s="14" t="s">
        <v>60</v>
      </c>
      <c r="D18" s="14" t="s">
        <v>81</v>
      </c>
      <c r="E18" s="14" t="s">
        <v>239</v>
      </c>
      <c r="F18" s="14" t="s">
        <v>240</v>
      </c>
      <c r="G18" s="14">
        <v>1</v>
      </c>
      <c r="H18" s="14" t="s">
        <v>61</v>
      </c>
      <c r="I18" s="14" t="s">
        <v>273</v>
      </c>
      <c r="J18" s="14" t="s">
        <v>274</v>
      </c>
      <c r="K18" s="14">
        <v>1</v>
      </c>
      <c r="L18" s="15" t="s">
        <v>243</v>
      </c>
      <c r="M18" t="s">
        <v>87</v>
      </c>
      <c r="N18" t="s">
        <v>244</v>
      </c>
    </row>
    <row r="19" ht="15" customHeight="1" spans="1:14">
      <c r="A19" s="13">
        <v>12</v>
      </c>
      <c r="B19" s="14" t="s">
        <v>275</v>
      </c>
      <c r="C19" s="14" t="s">
        <v>60</v>
      </c>
      <c r="D19" s="14" t="s">
        <v>81</v>
      </c>
      <c r="E19" s="14" t="s">
        <v>239</v>
      </c>
      <c r="F19" s="14" t="s">
        <v>240</v>
      </c>
      <c r="G19" s="14">
        <v>2</v>
      </c>
      <c r="H19" s="14" t="s">
        <v>61</v>
      </c>
      <c r="I19" s="14" t="s">
        <v>276</v>
      </c>
      <c r="J19" s="14" t="s">
        <v>277</v>
      </c>
      <c r="K19" s="14">
        <v>1</v>
      </c>
      <c r="L19" s="15" t="s">
        <v>243</v>
      </c>
      <c r="M19" t="s">
        <v>87</v>
      </c>
      <c r="N19" t="s">
        <v>244</v>
      </c>
    </row>
    <row r="20" ht="15" customHeight="1" spans="1:14">
      <c r="A20" s="13">
        <v>13</v>
      </c>
      <c r="B20" s="14" t="s">
        <v>278</v>
      </c>
      <c r="C20" s="14" t="s">
        <v>60</v>
      </c>
      <c r="D20" s="14" t="s">
        <v>81</v>
      </c>
      <c r="E20" s="14" t="s">
        <v>239</v>
      </c>
      <c r="F20" s="14" t="s">
        <v>240</v>
      </c>
      <c r="G20" s="14">
        <v>3</v>
      </c>
      <c r="H20" s="14" t="s">
        <v>61</v>
      </c>
      <c r="I20" s="14" t="s">
        <v>279</v>
      </c>
      <c r="J20" s="14" t="s">
        <v>280</v>
      </c>
      <c r="K20" s="14">
        <v>1</v>
      </c>
      <c r="L20" s="15" t="s">
        <v>243</v>
      </c>
      <c r="M20" t="s">
        <v>87</v>
      </c>
      <c r="N20" t="s">
        <v>244</v>
      </c>
    </row>
    <row r="21" ht="15" customHeight="1" spans="1:14">
      <c r="A21" s="13">
        <v>14</v>
      </c>
      <c r="B21" s="14" t="s">
        <v>281</v>
      </c>
      <c r="C21" s="14" t="s">
        <v>60</v>
      </c>
      <c r="D21" s="14" t="s">
        <v>81</v>
      </c>
      <c r="E21" s="14" t="s">
        <v>239</v>
      </c>
      <c r="F21" s="14" t="s">
        <v>240</v>
      </c>
      <c r="G21" s="14">
        <v>4</v>
      </c>
      <c r="H21" s="14" t="s">
        <v>61</v>
      </c>
      <c r="I21" s="14" t="s">
        <v>282</v>
      </c>
      <c r="J21" s="14" t="s">
        <v>283</v>
      </c>
      <c r="K21" s="14">
        <v>1</v>
      </c>
      <c r="L21" s="15" t="s">
        <v>243</v>
      </c>
      <c r="M21" t="s">
        <v>87</v>
      </c>
      <c r="N21" t="s">
        <v>244</v>
      </c>
    </row>
    <row r="22" ht="15" customHeight="1" spans="1:14">
      <c r="A22" s="13">
        <v>15</v>
      </c>
      <c r="B22" s="14" t="s">
        <v>284</v>
      </c>
      <c r="C22" s="14" t="s">
        <v>60</v>
      </c>
      <c r="D22" s="14" t="s">
        <v>81</v>
      </c>
      <c r="E22" s="14" t="s">
        <v>239</v>
      </c>
      <c r="F22" s="14" t="s">
        <v>240</v>
      </c>
      <c r="G22" s="14">
        <v>5</v>
      </c>
      <c r="H22" s="14" t="s">
        <v>61</v>
      </c>
      <c r="I22" s="14" t="s">
        <v>285</v>
      </c>
      <c r="J22" s="14" t="s">
        <v>286</v>
      </c>
      <c r="K22" s="14">
        <v>1</v>
      </c>
      <c r="L22" s="15" t="s">
        <v>243</v>
      </c>
      <c r="M22" t="s">
        <v>87</v>
      </c>
      <c r="N22" t="s">
        <v>244</v>
      </c>
    </row>
    <row r="23" spans="1:14">
      <c r="A23" s="13">
        <v>16</v>
      </c>
      <c r="B23" s="14" t="s">
        <v>287</v>
      </c>
      <c r="C23" s="14" t="s">
        <v>60</v>
      </c>
      <c r="D23" s="14" t="s">
        <v>81</v>
      </c>
      <c r="E23" s="14" t="s">
        <v>239</v>
      </c>
      <c r="F23" s="14" t="s">
        <v>240</v>
      </c>
      <c r="G23" s="14">
        <v>6</v>
      </c>
      <c r="H23" s="14" t="s">
        <v>61</v>
      </c>
      <c r="I23" s="14" t="s">
        <v>288</v>
      </c>
      <c r="J23" s="14" t="s">
        <v>289</v>
      </c>
      <c r="K23" s="14">
        <v>1</v>
      </c>
      <c r="L23" s="15" t="s">
        <v>243</v>
      </c>
      <c r="M23" t="s">
        <v>87</v>
      </c>
      <c r="N23" t="s">
        <v>244</v>
      </c>
    </row>
    <row r="24" spans="1:14">
      <c r="A24" s="13">
        <v>17</v>
      </c>
      <c r="B24" s="14" t="s">
        <v>290</v>
      </c>
      <c r="C24" s="14" t="s">
        <v>60</v>
      </c>
      <c r="D24" s="14" t="s">
        <v>81</v>
      </c>
      <c r="E24" s="14" t="s">
        <v>239</v>
      </c>
      <c r="F24" s="14" t="s">
        <v>240</v>
      </c>
      <c r="G24" s="14">
        <v>7</v>
      </c>
      <c r="H24" s="14" t="s">
        <v>61</v>
      </c>
      <c r="I24" s="14" t="s">
        <v>291</v>
      </c>
      <c r="J24" s="14" t="s">
        <v>292</v>
      </c>
      <c r="K24" s="14">
        <v>1</v>
      </c>
      <c r="L24" s="15" t="s">
        <v>243</v>
      </c>
      <c r="M24" t="s">
        <v>87</v>
      </c>
      <c r="N24" t="s">
        <v>244</v>
      </c>
    </row>
    <row r="25" spans="1:14">
      <c r="A25" s="13">
        <v>18</v>
      </c>
      <c r="B25" s="14" t="s">
        <v>293</v>
      </c>
      <c r="C25" s="14" t="s">
        <v>60</v>
      </c>
      <c r="D25" s="14" t="s">
        <v>81</v>
      </c>
      <c r="E25" s="14" t="s">
        <v>239</v>
      </c>
      <c r="F25" s="14" t="s">
        <v>240</v>
      </c>
      <c r="G25" s="14">
        <v>8</v>
      </c>
      <c r="H25" s="14" t="s">
        <v>61</v>
      </c>
      <c r="I25" s="14" t="s">
        <v>294</v>
      </c>
      <c r="J25" s="14" t="s">
        <v>295</v>
      </c>
      <c r="K25" s="14">
        <v>1</v>
      </c>
      <c r="L25" s="15" t="s">
        <v>243</v>
      </c>
      <c r="M25" t="s">
        <v>87</v>
      </c>
      <c r="N25" t="s">
        <v>244</v>
      </c>
    </row>
    <row r="26" spans="1:14">
      <c r="A26" s="13">
        <v>19</v>
      </c>
      <c r="B26" s="14" t="s">
        <v>296</v>
      </c>
      <c r="C26" s="14" t="s">
        <v>60</v>
      </c>
      <c r="D26" s="14" t="s">
        <v>81</v>
      </c>
      <c r="E26" s="14" t="s">
        <v>239</v>
      </c>
      <c r="F26" s="14" t="s">
        <v>240</v>
      </c>
      <c r="G26" s="14">
        <v>9</v>
      </c>
      <c r="H26" s="14" t="s">
        <v>61</v>
      </c>
      <c r="I26" s="14" t="s">
        <v>297</v>
      </c>
      <c r="J26" s="14" t="s">
        <v>298</v>
      </c>
      <c r="K26" s="14">
        <v>1</v>
      </c>
      <c r="L26" s="15" t="s">
        <v>243</v>
      </c>
      <c r="M26" t="s">
        <v>87</v>
      </c>
      <c r="N26" t="s">
        <v>244</v>
      </c>
    </row>
    <row r="27" spans="1:14">
      <c r="A27" s="13">
        <v>20</v>
      </c>
      <c r="B27" s="14" t="s">
        <v>299</v>
      </c>
      <c r="C27" s="14" t="s">
        <v>60</v>
      </c>
      <c r="D27" s="14" t="s">
        <v>81</v>
      </c>
      <c r="E27" s="14" t="s">
        <v>239</v>
      </c>
      <c r="F27" s="14" t="s">
        <v>240</v>
      </c>
      <c r="G27" s="14">
        <v>10</v>
      </c>
      <c r="H27" s="14" t="s">
        <v>61</v>
      </c>
      <c r="I27" s="14" t="s">
        <v>300</v>
      </c>
      <c r="J27" s="14" t="s">
        <v>301</v>
      </c>
      <c r="K27" s="14">
        <v>1</v>
      </c>
      <c r="L27" s="15" t="s">
        <v>243</v>
      </c>
      <c r="M27" t="s">
        <v>87</v>
      </c>
      <c r="N27" t="s">
        <v>244</v>
      </c>
    </row>
    <row r="28" spans="1:14">
      <c r="A28" s="13">
        <v>21</v>
      </c>
      <c r="B28" s="14" t="s">
        <v>504</v>
      </c>
      <c r="C28" s="14" t="s">
        <v>60</v>
      </c>
      <c r="D28" s="14" t="s">
        <v>476</v>
      </c>
      <c r="E28" s="14" t="s">
        <v>477</v>
      </c>
      <c r="F28" s="14" t="s">
        <v>478</v>
      </c>
      <c r="G28" s="14">
        <v>1</v>
      </c>
      <c r="H28" s="14" t="s">
        <v>479</v>
      </c>
      <c r="I28" s="14" t="s">
        <v>505</v>
      </c>
      <c r="J28" s="14" t="s">
        <v>506</v>
      </c>
      <c r="K28" s="14">
        <v>2</v>
      </c>
      <c r="L28" s="15" t="s">
        <v>243</v>
      </c>
      <c r="M28" t="s">
        <v>482</v>
      </c>
      <c r="N28" t="s">
        <v>483</v>
      </c>
    </row>
    <row r="29" spans="1:14">
      <c r="A29" s="13">
        <v>22</v>
      </c>
      <c r="B29" s="14" t="s">
        <v>507</v>
      </c>
      <c r="C29" s="14" t="s">
        <v>60</v>
      </c>
      <c r="D29" s="14" t="s">
        <v>476</v>
      </c>
      <c r="E29" s="14" t="s">
        <v>477</v>
      </c>
      <c r="F29" s="14" t="s">
        <v>478</v>
      </c>
      <c r="G29" s="14">
        <v>2</v>
      </c>
      <c r="H29" s="14" t="s">
        <v>479</v>
      </c>
      <c r="I29" s="14" t="s">
        <v>505</v>
      </c>
      <c r="J29" s="14" t="s">
        <v>508</v>
      </c>
      <c r="K29" s="14">
        <v>2</v>
      </c>
      <c r="L29" s="15" t="s">
        <v>243</v>
      </c>
      <c r="M29" t="s">
        <v>482</v>
      </c>
      <c r="N29" t="s">
        <v>483</v>
      </c>
    </row>
    <row r="30" spans="1:14">
      <c r="A30" s="13">
        <v>23</v>
      </c>
      <c r="B30" s="14" t="s">
        <v>509</v>
      </c>
      <c r="C30" s="14" t="s">
        <v>60</v>
      </c>
      <c r="D30" s="14" t="s">
        <v>476</v>
      </c>
      <c r="E30" s="14" t="s">
        <v>477</v>
      </c>
      <c r="F30" s="14" t="s">
        <v>478</v>
      </c>
      <c r="G30" s="14">
        <v>3</v>
      </c>
      <c r="H30" s="14" t="s">
        <v>479</v>
      </c>
      <c r="I30" s="14" t="s">
        <v>505</v>
      </c>
      <c r="J30" s="14" t="s">
        <v>510</v>
      </c>
      <c r="K30" s="14">
        <v>2</v>
      </c>
      <c r="L30" s="15" t="s">
        <v>243</v>
      </c>
      <c r="M30" t="s">
        <v>482</v>
      </c>
      <c r="N30" t="s">
        <v>483</v>
      </c>
    </row>
    <row r="31" spans="1:14">
      <c r="A31" s="13">
        <v>24</v>
      </c>
      <c r="B31" s="14" t="s">
        <v>511</v>
      </c>
      <c r="C31" s="14" t="s">
        <v>60</v>
      </c>
      <c r="D31" s="14" t="s">
        <v>476</v>
      </c>
      <c r="E31" s="14" t="s">
        <v>477</v>
      </c>
      <c r="F31" s="14" t="s">
        <v>478</v>
      </c>
      <c r="G31" s="14">
        <v>4</v>
      </c>
      <c r="H31" s="14" t="s">
        <v>479</v>
      </c>
      <c r="I31" s="14" t="s">
        <v>505</v>
      </c>
      <c r="J31" s="14" t="s">
        <v>512</v>
      </c>
      <c r="K31" s="14">
        <v>2</v>
      </c>
      <c r="L31" s="15" t="s">
        <v>243</v>
      </c>
      <c r="M31" t="s">
        <v>482</v>
      </c>
      <c r="N31" t="s">
        <v>483</v>
      </c>
    </row>
    <row r="32" spans="1:14">
      <c r="A32" s="13">
        <v>25</v>
      </c>
      <c r="B32" s="14" t="s">
        <v>513</v>
      </c>
      <c r="C32" s="14" t="s">
        <v>60</v>
      </c>
      <c r="D32" s="14" t="s">
        <v>476</v>
      </c>
      <c r="E32" s="14" t="s">
        <v>477</v>
      </c>
      <c r="F32" s="14" t="s">
        <v>478</v>
      </c>
      <c r="G32" s="14">
        <v>5</v>
      </c>
      <c r="H32" s="14" t="s">
        <v>479</v>
      </c>
      <c r="I32" s="14" t="s">
        <v>505</v>
      </c>
      <c r="J32" s="14" t="s">
        <v>514</v>
      </c>
      <c r="K32" s="14">
        <v>2</v>
      </c>
      <c r="L32" s="15" t="s">
        <v>243</v>
      </c>
      <c r="M32" t="s">
        <v>482</v>
      </c>
      <c r="N32" t="s">
        <v>483</v>
      </c>
    </row>
    <row r="33" spans="1:14">
      <c r="A33" s="13">
        <v>26</v>
      </c>
      <c r="B33" s="14" t="s">
        <v>515</v>
      </c>
      <c r="C33" s="14" t="s">
        <v>60</v>
      </c>
      <c r="D33" s="14" t="s">
        <v>476</v>
      </c>
      <c r="E33" s="14" t="s">
        <v>477</v>
      </c>
      <c r="F33" s="14" t="s">
        <v>478</v>
      </c>
      <c r="G33" s="14">
        <v>6</v>
      </c>
      <c r="H33" s="14" t="s">
        <v>479</v>
      </c>
      <c r="I33" s="14" t="s">
        <v>516</v>
      </c>
      <c r="J33" s="14" t="s">
        <v>517</v>
      </c>
      <c r="K33" s="14">
        <v>2</v>
      </c>
      <c r="L33" s="15" t="s">
        <v>243</v>
      </c>
      <c r="M33" t="s">
        <v>482</v>
      </c>
      <c r="N33" t="s">
        <v>495</v>
      </c>
    </row>
    <row r="34" spans="1:14">
      <c r="A34" s="13">
        <v>27</v>
      </c>
      <c r="B34" s="14" t="s">
        <v>518</v>
      </c>
      <c r="C34" s="14" t="s">
        <v>60</v>
      </c>
      <c r="D34" s="14" t="s">
        <v>476</v>
      </c>
      <c r="E34" s="14" t="s">
        <v>477</v>
      </c>
      <c r="F34" s="14" t="s">
        <v>478</v>
      </c>
      <c r="G34" s="14">
        <v>7</v>
      </c>
      <c r="H34" s="14" t="s">
        <v>479</v>
      </c>
      <c r="I34" s="14" t="s">
        <v>516</v>
      </c>
      <c r="J34" s="14" t="s">
        <v>519</v>
      </c>
      <c r="K34" s="14">
        <v>2</v>
      </c>
      <c r="L34" s="15" t="s">
        <v>243</v>
      </c>
      <c r="M34" t="s">
        <v>482</v>
      </c>
      <c r="N34" t="s">
        <v>495</v>
      </c>
    </row>
    <row r="35" spans="1:14">
      <c r="A35" s="13">
        <v>28</v>
      </c>
      <c r="B35" s="14" t="s">
        <v>520</v>
      </c>
      <c r="C35" s="14" t="s">
        <v>60</v>
      </c>
      <c r="D35" s="14" t="s">
        <v>476</v>
      </c>
      <c r="E35" s="14" t="s">
        <v>477</v>
      </c>
      <c r="F35" s="14" t="s">
        <v>478</v>
      </c>
      <c r="G35" s="14">
        <v>8</v>
      </c>
      <c r="H35" s="14" t="s">
        <v>479</v>
      </c>
      <c r="I35" s="14" t="s">
        <v>516</v>
      </c>
      <c r="J35" s="14" t="s">
        <v>521</v>
      </c>
      <c r="K35" s="14">
        <v>2</v>
      </c>
      <c r="L35" s="15" t="s">
        <v>243</v>
      </c>
      <c r="M35" t="s">
        <v>482</v>
      </c>
      <c r="N35" t="s">
        <v>495</v>
      </c>
    </row>
    <row r="36" spans="1:14">
      <c r="A36" s="13">
        <v>29</v>
      </c>
      <c r="B36" s="14" t="s">
        <v>522</v>
      </c>
      <c r="C36" s="14" t="s">
        <v>60</v>
      </c>
      <c r="D36" s="14" t="s">
        <v>476</v>
      </c>
      <c r="E36" s="14" t="s">
        <v>477</v>
      </c>
      <c r="F36" s="14" t="s">
        <v>478</v>
      </c>
      <c r="G36" s="14">
        <v>9</v>
      </c>
      <c r="H36" s="14" t="s">
        <v>479</v>
      </c>
      <c r="I36" s="14" t="s">
        <v>516</v>
      </c>
      <c r="J36" s="14" t="s">
        <v>523</v>
      </c>
      <c r="K36" s="14">
        <v>2</v>
      </c>
      <c r="L36" s="15" t="s">
        <v>243</v>
      </c>
      <c r="M36" t="s">
        <v>482</v>
      </c>
      <c r="N36" t="s">
        <v>495</v>
      </c>
    </row>
    <row r="37" spans="1:14">
      <c r="A37" s="13">
        <v>30</v>
      </c>
      <c r="B37" s="14" t="s">
        <v>524</v>
      </c>
      <c r="C37" s="14" t="s">
        <v>60</v>
      </c>
      <c r="D37" s="14" t="s">
        <v>476</v>
      </c>
      <c r="E37" s="14" t="s">
        <v>477</v>
      </c>
      <c r="F37" s="14" t="s">
        <v>478</v>
      </c>
      <c r="G37" s="14">
        <v>10</v>
      </c>
      <c r="H37" s="14" t="s">
        <v>479</v>
      </c>
      <c r="I37" s="14" t="s">
        <v>516</v>
      </c>
      <c r="J37" s="14" t="s">
        <v>525</v>
      </c>
      <c r="K37" s="14">
        <v>2</v>
      </c>
      <c r="L37" s="15" t="s">
        <v>243</v>
      </c>
      <c r="M37" t="s">
        <v>482</v>
      </c>
      <c r="N37" t="s">
        <v>495</v>
      </c>
    </row>
    <row r="38" spans="1:14">
      <c r="A38" s="13">
        <v>31</v>
      </c>
      <c r="B38" s="14" t="s">
        <v>417</v>
      </c>
      <c r="C38" s="14" t="s">
        <v>60</v>
      </c>
      <c r="D38" s="14" t="s">
        <v>81</v>
      </c>
      <c r="E38" s="14" t="s">
        <v>393</v>
      </c>
      <c r="F38" s="14" t="s">
        <v>394</v>
      </c>
      <c r="G38" s="14">
        <v>1</v>
      </c>
      <c r="H38" s="14" t="s">
        <v>395</v>
      </c>
      <c r="I38" s="14" t="s">
        <v>396</v>
      </c>
      <c r="J38" s="14" t="s">
        <v>418</v>
      </c>
      <c r="K38" s="14">
        <v>5</v>
      </c>
      <c r="L38" s="15" t="s">
        <v>243</v>
      </c>
      <c r="M38" t="s">
        <v>398</v>
      </c>
      <c r="N38" t="s">
        <v>399</v>
      </c>
    </row>
    <row r="39" spans="1:14">
      <c r="A39" s="13">
        <v>32</v>
      </c>
      <c r="B39" s="14" t="s">
        <v>425</v>
      </c>
      <c r="C39" s="14" t="s">
        <v>60</v>
      </c>
      <c r="D39" s="14" t="s">
        <v>81</v>
      </c>
      <c r="E39" s="14" t="s">
        <v>393</v>
      </c>
      <c r="F39" s="14" t="s">
        <v>407</v>
      </c>
      <c r="G39" s="14">
        <v>1</v>
      </c>
      <c r="H39" s="14" t="s">
        <v>408</v>
      </c>
      <c r="I39" s="14" t="s">
        <v>409</v>
      </c>
      <c r="J39" s="14" t="s">
        <v>426</v>
      </c>
      <c r="K39" s="14">
        <v>5</v>
      </c>
      <c r="L39" s="15" t="s">
        <v>243</v>
      </c>
      <c r="M39" t="s">
        <v>411</v>
      </c>
      <c r="N39" t="s">
        <v>412</v>
      </c>
    </row>
    <row r="40" spans="1:14">
      <c r="A40" s="13">
        <v>33</v>
      </c>
      <c r="B40" s="14" t="s">
        <v>419</v>
      </c>
      <c r="C40" s="14" t="s">
        <v>60</v>
      </c>
      <c r="D40" s="14" t="s">
        <v>81</v>
      </c>
      <c r="E40" s="14" t="s">
        <v>393</v>
      </c>
      <c r="F40" s="14" t="s">
        <v>394</v>
      </c>
      <c r="G40" s="14">
        <v>2</v>
      </c>
      <c r="H40" s="14" t="s">
        <v>395</v>
      </c>
      <c r="I40" s="14" t="s">
        <v>396</v>
      </c>
      <c r="J40" s="14" t="s">
        <v>420</v>
      </c>
      <c r="K40" s="14">
        <v>5</v>
      </c>
      <c r="L40" s="15" t="s">
        <v>243</v>
      </c>
      <c r="M40" t="s">
        <v>398</v>
      </c>
      <c r="N40" t="s">
        <v>399</v>
      </c>
    </row>
    <row r="41" spans="1:14">
      <c r="A41" s="13">
        <v>34</v>
      </c>
      <c r="B41" s="14" t="s">
        <v>427</v>
      </c>
      <c r="C41" s="14" t="s">
        <v>60</v>
      </c>
      <c r="D41" s="14" t="s">
        <v>81</v>
      </c>
      <c r="E41" s="14" t="s">
        <v>393</v>
      </c>
      <c r="F41" s="14" t="s">
        <v>407</v>
      </c>
      <c r="G41" s="14">
        <v>2</v>
      </c>
      <c r="H41" s="14" t="s">
        <v>408</v>
      </c>
      <c r="I41" s="14" t="s">
        <v>409</v>
      </c>
      <c r="J41" s="14" t="s">
        <v>428</v>
      </c>
      <c r="K41" s="14">
        <v>5</v>
      </c>
      <c r="L41" s="15" t="s">
        <v>243</v>
      </c>
      <c r="M41" t="s">
        <v>411</v>
      </c>
      <c r="N41" t="s">
        <v>412</v>
      </c>
    </row>
    <row r="42" spans="1:14">
      <c r="A42" s="13">
        <v>35</v>
      </c>
      <c r="B42" s="14" t="s">
        <v>421</v>
      </c>
      <c r="C42" s="14" t="s">
        <v>60</v>
      </c>
      <c r="D42" s="14" t="s">
        <v>81</v>
      </c>
      <c r="E42" s="14" t="s">
        <v>393</v>
      </c>
      <c r="F42" s="14" t="s">
        <v>394</v>
      </c>
      <c r="G42" s="14">
        <v>3</v>
      </c>
      <c r="H42" s="14" t="s">
        <v>395</v>
      </c>
      <c r="I42" s="14" t="s">
        <v>396</v>
      </c>
      <c r="J42" s="14" t="s">
        <v>422</v>
      </c>
      <c r="K42" s="14">
        <v>5</v>
      </c>
      <c r="L42" s="15" t="s">
        <v>243</v>
      </c>
      <c r="M42" t="s">
        <v>398</v>
      </c>
      <c r="N42" t="s">
        <v>399</v>
      </c>
    </row>
    <row r="43" spans="1:14">
      <c r="A43" s="13">
        <v>36</v>
      </c>
      <c r="B43" s="14" t="s">
        <v>429</v>
      </c>
      <c r="C43" s="14" t="s">
        <v>60</v>
      </c>
      <c r="D43" s="14" t="s">
        <v>81</v>
      </c>
      <c r="E43" s="14" t="s">
        <v>393</v>
      </c>
      <c r="F43" s="14" t="s">
        <v>407</v>
      </c>
      <c r="G43" s="14">
        <v>3</v>
      </c>
      <c r="H43" s="14" t="s">
        <v>408</v>
      </c>
      <c r="I43" s="14" t="s">
        <v>409</v>
      </c>
      <c r="J43" s="14" t="s">
        <v>430</v>
      </c>
      <c r="K43" s="14">
        <v>5</v>
      </c>
      <c r="L43" s="15" t="s">
        <v>243</v>
      </c>
      <c r="M43" t="s">
        <v>411</v>
      </c>
      <c r="N43" t="s">
        <v>412</v>
      </c>
    </row>
    <row r="44" spans="1:14">
      <c r="A44" s="13">
        <v>37</v>
      </c>
      <c r="B44" s="14" t="s">
        <v>423</v>
      </c>
      <c r="C44" s="14" t="s">
        <v>60</v>
      </c>
      <c r="D44" s="14" t="s">
        <v>81</v>
      </c>
      <c r="E44" s="14" t="s">
        <v>393</v>
      </c>
      <c r="F44" s="14" t="s">
        <v>394</v>
      </c>
      <c r="G44" s="14">
        <v>4</v>
      </c>
      <c r="H44" s="14" t="s">
        <v>395</v>
      </c>
      <c r="I44" s="14" t="s">
        <v>396</v>
      </c>
      <c r="J44" s="14" t="s">
        <v>424</v>
      </c>
      <c r="K44" s="14">
        <v>5</v>
      </c>
      <c r="L44" s="15" t="s">
        <v>243</v>
      </c>
      <c r="M44" t="s">
        <v>398</v>
      </c>
      <c r="N44" t="s">
        <v>399</v>
      </c>
    </row>
    <row r="45" spans="1:14">
      <c r="A45" s="21">
        <v>38</v>
      </c>
      <c r="B45" s="22" t="s">
        <v>600</v>
      </c>
      <c r="C45" s="22" t="s">
        <v>60</v>
      </c>
      <c r="D45" s="22" t="s">
        <v>476</v>
      </c>
      <c r="E45" s="22" t="s">
        <v>593</v>
      </c>
      <c r="F45" s="22" t="s">
        <v>594</v>
      </c>
      <c r="G45" s="22">
        <v>1</v>
      </c>
      <c r="H45" s="22" t="s">
        <v>595</v>
      </c>
      <c r="I45" s="22" t="s">
        <v>601</v>
      </c>
      <c r="J45" s="22" t="s">
        <v>602</v>
      </c>
      <c r="K45" s="22">
        <v>25</v>
      </c>
      <c r="L45" s="23" t="s">
        <v>243</v>
      </c>
      <c r="M45" t="s">
        <v>598</v>
      </c>
      <c r="N45" t="s">
        <v>599</v>
      </c>
    </row>
  </sheetData>
  <mergeCells count="3">
    <mergeCell ref="A1:L1"/>
    <mergeCell ref="N1:Q1"/>
    <mergeCell ref="A2:L2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5"/>
  <sheetViews>
    <sheetView topLeftCell="H1" workbookViewId="0">
      <selection activeCell="A7" sqref="$A7:$XFD7"/>
    </sheetView>
  </sheetViews>
  <sheetFormatPr defaultColWidth="9" defaultRowHeight="14.1"/>
  <cols>
    <col min="1" max="1" width="6" customWidth="1"/>
    <col min="2" max="2" width="16" customWidth="1"/>
    <col min="3" max="3" width="10" customWidth="1"/>
    <col min="4" max="4" width="8" customWidth="1"/>
    <col min="5" max="5" width="18" customWidth="1"/>
    <col min="6" max="6" width="24" customWidth="1"/>
    <col min="7" max="7" width="22" customWidth="1"/>
    <col min="8" max="8" width="80" customWidth="1"/>
    <col min="9" max="10" width="8" customWidth="1"/>
    <col min="11" max="11" width="16" customWidth="1"/>
    <col min="12" max="12" width="20" customWidth="1"/>
    <col min="14" max="15" width="16" customWidth="1"/>
  </cols>
  <sheetData>
    <row r="1" ht="17.55" spans="1:17">
      <c r="A1" s="1" t="s">
        <v>653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N1" s="2" t="s">
        <v>643</v>
      </c>
      <c r="O1" s="2"/>
      <c r="P1" s="2"/>
      <c r="Q1" s="2"/>
    </row>
    <row r="2" ht="14.15" spans="1:17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N2" s="4" t="s">
        <v>644</v>
      </c>
      <c r="O2" s="5">
        <v>100</v>
      </c>
    </row>
    <row r="3" ht="14.15" spans="1:17">
      <c r="N3" s="6" t="s">
        <v>645</v>
      </c>
      <c r="O3" s="7">
        <f>SUM(I8:I45)</f>
        <v>0</v>
      </c>
    </row>
    <row r="4" ht="14.15" spans="1:17">
      <c r="N4" s="6" t="s">
        <v>646</v>
      </c>
      <c r="O4" s="7">
        <f>SUMIF(D8:D45,"Part I",I8:I45)</f>
        <v>0</v>
      </c>
    </row>
    <row r="5" ht="14.15" spans="1:17">
      <c r="N5" s="6" t="s">
        <v>647</v>
      </c>
      <c r="O5" s="7">
        <f>SUMIF(D8:D45,"Part II",I8:I45)</f>
        <v>0</v>
      </c>
    </row>
    <row r="6" ht="14.15" spans="1:17">
      <c r="N6" s="6" t="s">
        <v>648</v>
      </c>
      <c r="O6" s="7">
        <f>SUMIF(D8:D45,"Part III",I8:I45)</f>
        <v>0</v>
      </c>
    </row>
    <row r="7" ht="15" customHeight="1" spans="1:17">
      <c r="A7" s="8" t="s">
        <v>649</v>
      </c>
      <c r="B7" s="9" t="s">
        <v>70</v>
      </c>
      <c r="C7" s="10" t="s">
        <v>650</v>
      </c>
      <c r="D7" s="9" t="s">
        <v>71</v>
      </c>
      <c r="E7" s="9" t="s">
        <v>72</v>
      </c>
      <c r="F7" s="10" t="s">
        <v>73</v>
      </c>
      <c r="G7" s="10" t="s">
        <v>651</v>
      </c>
      <c r="H7" t="s">
        <v>75</v>
      </c>
      <c r="I7" s="9" t="s">
        <v>76</v>
      </c>
      <c r="J7" s="11" t="s">
        <v>652</v>
      </c>
      <c r="K7" s="11" t="s">
        <v>78</v>
      </c>
      <c r="L7" s="11" t="s">
        <v>79</v>
      </c>
      <c r="M7" s="9" t="s">
        <v>53</v>
      </c>
      <c r="N7" s="12" t="s">
        <v>21</v>
      </c>
      <c r="O7" s="7">
        <f>SUMIF(D8:D45,"Part IV",I8:I45)</f>
        <v>0</v>
      </c>
    </row>
    <row r="8" ht="15" customHeight="1" spans="1:17">
      <c r="A8" s="13">
        <v>1</v>
      </c>
      <c r="B8" s="14" t="s">
        <v>148</v>
      </c>
      <c r="C8" s="14" t="s">
        <v>62</v>
      </c>
      <c r="D8" s="14" t="s">
        <v>81</v>
      </c>
      <c r="E8" s="14" t="s">
        <v>82</v>
      </c>
      <c r="F8" s="14" t="s">
        <v>83</v>
      </c>
      <c r="G8" s="14">
        <v>1</v>
      </c>
      <c r="H8" s="14" t="s">
        <v>33</v>
      </c>
      <c r="I8" s="14" t="s">
        <v>149</v>
      </c>
      <c r="J8" s="14" t="s">
        <v>150</v>
      </c>
      <c r="K8" s="14">
        <v>1</v>
      </c>
      <c r="L8" s="15" t="s">
        <v>86</v>
      </c>
      <c r="M8" t="s">
        <v>87</v>
      </c>
      <c r="N8" s="6" t="s">
        <v>88</v>
      </c>
      <c r="O8" s="7">
        <f>SUMIF(D8:D45,"Part V",I8:I45)</f>
        <v>0</v>
      </c>
    </row>
    <row r="9" ht="15" customHeight="1" spans="1:17">
      <c r="A9" s="13">
        <v>2</v>
      </c>
      <c r="B9" s="14" t="s">
        <v>151</v>
      </c>
      <c r="C9" s="14" t="s">
        <v>62</v>
      </c>
      <c r="D9" s="14" t="s">
        <v>81</v>
      </c>
      <c r="E9" s="14" t="s">
        <v>82</v>
      </c>
      <c r="F9" s="14" t="s">
        <v>83</v>
      </c>
      <c r="G9" s="14">
        <v>2</v>
      </c>
      <c r="H9" s="14" t="s">
        <v>33</v>
      </c>
      <c r="I9" s="14" t="s">
        <v>152</v>
      </c>
      <c r="J9" s="14" t="s">
        <v>153</v>
      </c>
      <c r="K9" s="14">
        <v>1</v>
      </c>
      <c r="L9" s="15" t="s">
        <v>86</v>
      </c>
      <c r="M9" t="s">
        <v>87</v>
      </c>
      <c r="N9" s="6" t="s">
        <v>88</v>
      </c>
      <c r="O9" s="7">
        <v>90</v>
      </c>
    </row>
    <row r="10" ht="15" customHeight="1" spans="1:17">
      <c r="A10" s="13">
        <v>3</v>
      </c>
      <c r="B10" s="14" t="s">
        <v>154</v>
      </c>
      <c r="C10" s="14" t="s">
        <v>62</v>
      </c>
      <c r="D10" s="14" t="s">
        <v>81</v>
      </c>
      <c r="E10" s="14" t="s">
        <v>82</v>
      </c>
      <c r="F10" s="14" t="s">
        <v>83</v>
      </c>
      <c r="G10" s="14">
        <v>3</v>
      </c>
      <c r="H10" s="14" t="s">
        <v>38</v>
      </c>
      <c r="I10" s="14" t="s">
        <v>155</v>
      </c>
      <c r="J10" s="14" t="s">
        <v>156</v>
      </c>
      <c r="K10" s="14">
        <v>1</v>
      </c>
      <c r="L10" s="15" t="s">
        <v>86</v>
      </c>
      <c r="M10" t="s">
        <v>87</v>
      </c>
      <c r="N10" s="19" t="s">
        <v>88</v>
      </c>
      <c r="O10" s="20">
        <v>120</v>
      </c>
    </row>
    <row r="11" ht="15" customHeight="1" spans="1:17">
      <c r="A11" s="13">
        <v>4</v>
      </c>
      <c r="B11" s="14" t="s">
        <v>157</v>
      </c>
      <c r="C11" s="14" t="s">
        <v>62</v>
      </c>
      <c r="D11" s="14" t="s">
        <v>81</v>
      </c>
      <c r="E11" s="14" t="s">
        <v>82</v>
      </c>
      <c r="F11" s="14" t="s">
        <v>83</v>
      </c>
      <c r="G11" s="14">
        <v>4</v>
      </c>
      <c r="H11" s="14" t="s">
        <v>38</v>
      </c>
      <c r="I11" s="14" t="s">
        <v>158</v>
      </c>
      <c r="J11" s="14" t="s">
        <v>159</v>
      </c>
      <c r="K11" s="14">
        <v>1</v>
      </c>
      <c r="L11" s="15" t="s">
        <v>86</v>
      </c>
      <c r="M11" t="s">
        <v>87</v>
      </c>
      <c r="N11" t="s">
        <v>88</v>
      </c>
    </row>
    <row r="12" ht="15" customHeight="1" spans="1:17">
      <c r="A12" s="13">
        <v>5</v>
      </c>
      <c r="B12" s="14" t="s">
        <v>160</v>
      </c>
      <c r="C12" s="14" t="s">
        <v>62</v>
      </c>
      <c r="D12" s="14" t="s">
        <v>81</v>
      </c>
      <c r="E12" s="14" t="s">
        <v>82</v>
      </c>
      <c r="F12" s="14" t="s">
        <v>83</v>
      </c>
      <c r="G12" s="14">
        <v>5</v>
      </c>
      <c r="H12" s="14" t="s">
        <v>43</v>
      </c>
      <c r="I12" s="14" t="s">
        <v>161</v>
      </c>
      <c r="J12" s="14" t="s">
        <v>162</v>
      </c>
      <c r="K12" s="14">
        <v>1</v>
      </c>
      <c r="L12" s="15" t="s">
        <v>86</v>
      </c>
      <c r="M12" t="s">
        <v>87</v>
      </c>
      <c r="N12" t="s">
        <v>88</v>
      </c>
    </row>
    <row r="13" ht="15" customHeight="1" spans="1:17">
      <c r="A13" s="16">
        <v>6</v>
      </c>
      <c r="B13" s="17" t="s">
        <v>163</v>
      </c>
      <c r="C13" s="17" t="s">
        <v>62</v>
      </c>
      <c r="D13" s="17" t="s">
        <v>81</v>
      </c>
      <c r="E13" s="17" t="s">
        <v>82</v>
      </c>
      <c r="F13" s="17" t="s">
        <v>83</v>
      </c>
      <c r="G13" s="17">
        <v>6</v>
      </c>
      <c r="H13" s="17" t="s">
        <v>90</v>
      </c>
      <c r="I13" s="17" t="s">
        <v>164</v>
      </c>
      <c r="J13" s="17" t="s">
        <v>165</v>
      </c>
      <c r="K13" s="17">
        <v>1</v>
      </c>
      <c r="L13" s="18" t="s">
        <v>86</v>
      </c>
      <c r="M13" t="s">
        <v>93</v>
      </c>
      <c r="N13" t="s">
        <v>88</v>
      </c>
    </row>
    <row r="14" ht="15" customHeight="1" spans="1:17">
      <c r="A14" s="13">
        <v>7</v>
      </c>
      <c r="B14" s="14" t="s">
        <v>166</v>
      </c>
      <c r="C14" s="14" t="s">
        <v>62</v>
      </c>
      <c r="D14" s="14" t="s">
        <v>81</v>
      </c>
      <c r="E14" s="14" t="s">
        <v>82</v>
      </c>
      <c r="F14" s="14" t="s">
        <v>83</v>
      </c>
      <c r="G14" s="14">
        <v>7</v>
      </c>
      <c r="H14" s="14" t="s">
        <v>38</v>
      </c>
      <c r="I14" s="14" t="s">
        <v>167</v>
      </c>
      <c r="J14" s="14" t="s">
        <v>168</v>
      </c>
      <c r="K14" s="14">
        <v>1</v>
      </c>
      <c r="L14" s="15" t="s">
        <v>86</v>
      </c>
      <c r="M14" t="s">
        <v>87</v>
      </c>
      <c r="N14" t="s">
        <v>88</v>
      </c>
    </row>
    <row r="15" ht="15" customHeight="1" spans="1:17">
      <c r="A15" s="13">
        <v>8</v>
      </c>
      <c r="B15" s="14" t="s">
        <v>169</v>
      </c>
      <c r="C15" s="14" t="s">
        <v>62</v>
      </c>
      <c r="D15" s="14" t="s">
        <v>81</v>
      </c>
      <c r="E15" s="14" t="s">
        <v>82</v>
      </c>
      <c r="F15" s="14" t="s">
        <v>83</v>
      </c>
      <c r="G15" s="14">
        <v>8</v>
      </c>
      <c r="H15" s="14" t="s">
        <v>28</v>
      </c>
      <c r="I15" s="14" t="s">
        <v>170</v>
      </c>
      <c r="J15" s="14" t="s">
        <v>171</v>
      </c>
      <c r="K15" s="14">
        <v>1</v>
      </c>
      <c r="L15" s="15" t="s">
        <v>86</v>
      </c>
      <c r="M15" t="s">
        <v>87</v>
      </c>
      <c r="N15" t="s">
        <v>88</v>
      </c>
    </row>
    <row r="16" ht="15" customHeight="1" spans="1:17">
      <c r="A16" s="16">
        <v>9</v>
      </c>
      <c r="B16" s="17" t="s">
        <v>172</v>
      </c>
      <c r="C16" s="17" t="s">
        <v>62</v>
      </c>
      <c r="D16" s="17" t="s">
        <v>81</v>
      </c>
      <c r="E16" s="17" t="s">
        <v>82</v>
      </c>
      <c r="F16" s="17" t="s">
        <v>83</v>
      </c>
      <c r="G16" s="17">
        <v>9</v>
      </c>
      <c r="H16" s="17" t="s">
        <v>90</v>
      </c>
      <c r="I16" s="17" t="s">
        <v>173</v>
      </c>
      <c r="J16" s="17" t="s">
        <v>174</v>
      </c>
      <c r="K16" s="17">
        <v>1</v>
      </c>
      <c r="L16" s="18" t="s">
        <v>86</v>
      </c>
      <c r="M16" t="s">
        <v>93</v>
      </c>
      <c r="N16" t="s">
        <v>88</v>
      </c>
    </row>
    <row r="17" ht="15" customHeight="1" spans="1:14">
      <c r="A17" s="16">
        <v>10</v>
      </c>
      <c r="B17" s="17" t="s">
        <v>175</v>
      </c>
      <c r="C17" s="17" t="s">
        <v>62</v>
      </c>
      <c r="D17" s="17" t="s">
        <v>81</v>
      </c>
      <c r="E17" s="17" t="s">
        <v>82</v>
      </c>
      <c r="F17" s="17" t="s">
        <v>83</v>
      </c>
      <c r="G17" s="17">
        <v>10</v>
      </c>
      <c r="H17" s="17" t="s">
        <v>90</v>
      </c>
      <c r="I17" s="17" t="s">
        <v>176</v>
      </c>
      <c r="J17" s="17" t="s">
        <v>177</v>
      </c>
      <c r="K17" s="17">
        <v>1</v>
      </c>
      <c r="L17" s="18" t="s">
        <v>86</v>
      </c>
      <c r="M17" t="s">
        <v>93</v>
      </c>
      <c r="N17" t="s">
        <v>88</v>
      </c>
    </row>
    <row r="18" ht="15" customHeight="1" spans="1:14">
      <c r="A18" s="13">
        <v>11</v>
      </c>
      <c r="B18" s="14" t="s">
        <v>302</v>
      </c>
      <c r="C18" s="14" t="s">
        <v>62</v>
      </c>
      <c r="D18" s="14" t="s">
        <v>81</v>
      </c>
      <c r="E18" s="14" t="s">
        <v>239</v>
      </c>
      <c r="F18" s="14" t="s">
        <v>240</v>
      </c>
      <c r="G18" s="14">
        <v>1</v>
      </c>
      <c r="H18" s="14" t="s">
        <v>63</v>
      </c>
      <c r="I18" s="14" t="s">
        <v>303</v>
      </c>
      <c r="J18" s="14" t="s">
        <v>304</v>
      </c>
      <c r="K18" s="14">
        <v>1</v>
      </c>
      <c r="L18" s="15" t="s">
        <v>243</v>
      </c>
      <c r="M18" t="s">
        <v>87</v>
      </c>
      <c r="N18" t="s">
        <v>244</v>
      </c>
    </row>
    <row r="19" ht="15" customHeight="1" spans="1:14">
      <c r="A19" s="13">
        <v>12</v>
      </c>
      <c r="B19" s="14" t="s">
        <v>305</v>
      </c>
      <c r="C19" s="14" t="s">
        <v>62</v>
      </c>
      <c r="D19" s="14" t="s">
        <v>81</v>
      </c>
      <c r="E19" s="14" t="s">
        <v>239</v>
      </c>
      <c r="F19" s="14" t="s">
        <v>240</v>
      </c>
      <c r="G19" s="14">
        <v>2</v>
      </c>
      <c r="H19" s="14" t="s">
        <v>63</v>
      </c>
      <c r="I19" s="14" t="s">
        <v>306</v>
      </c>
      <c r="J19" s="14" t="s">
        <v>307</v>
      </c>
      <c r="K19" s="14">
        <v>1</v>
      </c>
      <c r="L19" s="15" t="s">
        <v>243</v>
      </c>
      <c r="M19" t="s">
        <v>87</v>
      </c>
      <c r="N19" t="s">
        <v>244</v>
      </c>
    </row>
    <row r="20" ht="15" customHeight="1" spans="1:14">
      <c r="A20" s="13">
        <v>13</v>
      </c>
      <c r="B20" s="14" t="s">
        <v>308</v>
      </c>
      <c r="C20" s="14" t="s">
        <v>62</v>
      </c>
      <c r="D20" s="14" t="s">
        <v>81</v>
      </c>
      <c r="E20" s="14" t="s">
        <v>239</v>
      </c>
      <c r="F20" s="14" t="s">
        <v>240</v>
      </c>
      <c r="G20" s="14">
        <v>3</v>
      </c>
      <c r="H20" s="14" t="s">
        <v>63</v>
      </c>
      <c r="I20" s="14" t="s">
        <v>309</v>
      </c>
      <c r="J20" s="14" t="s">
        <v>310</v>
      </c>
      <c r="K20" s="14">
        <v>1</v>
      </c>
      <c r="L20" s="15" t="s">
        <v>243</v>
      </c>
      <c r="M20" t="s">
        <v>87</v>
      </c>
      <c r="N20" t="s">
        <v>244</v>
      </c>
    </row>
    <row r="21" ht="15" customHeight="1" spans="1:14">
      <c r="A21" s="13">
        <v>14</v>
      </c>
      <c r="B21" s="14" t="s">
        <v>311</v>
      </c>
      <c r="C21" s="14" t="s">
        <v>62</v>
      </c>
      <c r="D21" s="14" t="s">
        <v>81</v>
      </c>
      <c r="E21" s="14" t="s">
        <v>239</v>
      </c>
      <c r="F21" s="14" t="s">
        <v>240</v>
      </c>
      <c r="G21" s="14">
        <v>4</v>
      </c>
      <c r="H21" s="14" t="s">
        <v>63</v>
      </c>
      <c r="I21" s="14" t="s">
        <v>312</v>
      </c>
      <c r="J21" s="14" t="s">
        <v>313</v>
      </c>
      <c r="K21" s="14">
        <v>1</v>
      </c>
      <c r="L21" s="15" t="s">
        <v>243</v>
      </c>
      <c r="M21" t="s">
        <v>87</v>
      </c>
      <c r="N21" t="s">
        <v>244</v>
      </c>
    </row>
    <row r="22" ht="15" customHeight="1" spans="1:14">
      <c r="A22" s="13">
        <v>15</v>
      </c>
      <c r="B22" s="14" t="s">
        <v>314</v>
      </c>
      <c r="C22" s="14" t="s">
        <v>62</v>
      </c>
      <c r="D22" s="14" t="s">
        <v>81</v>
      </c>
      <c r="E22" s="14" t="s">
        <v>239</v>
      </c>
      <c r="F22" s="14" t="s">
        <v>240</v>
      </c>
      <c r="G22" s="14">
        <v>5</v>
      </c>
      <c r="H22" s="14" t="s">
        <v>63</v>
      </c>
      <c r="I22" s="14" t="s">
        <v>315</v>
      </c>
      <c r="J22" s="14" t="s">
        <v>316</v>
      </c>
      <c r="K22" s="14">
        <v>1</v>
      </c>
      <c r="L22" s="15" t="s">
        <v>243</v>
      </c>
      <c r="M22" t="s">
        <v>87</v>
      </c>
      <c r="N22" t="s">
        <v>244</v>
      </c>
    </row>
    <row r="23" spans="1:14">
      <c r="A23" s="13">
        <v>16</v>
      </c>
      <c r="B23" s="14" t="s">
        <v>317</v>
      </c>
      <c r="C23" s="14" t="s">
        <v>62</v>
      </c>
      <c r="D23" s="14" t="s">
        <v>81</v>
      </c>
      <c r="E23" s="14" t="s">
        <v>239</v>
      </c>
      <c r="F23" s="14" t="s">
        <v>240</v>
      </c>
      <c r="G23" s="14">
        <v>6</v>
      </c>
      <c r="H23" s="14" t="s">
        <v>63</v>
      </c>
      <c r="I23" s="14" t="s">
        <v>318</v>
      </c>
      <c r="J23" s="14" t="s">
        <v>319</v>
      </c>
      <c r="K23" s="14">
        <v>1</v>
      </c>
      <c r="L23" s="15" t="s">
        <v>243</v>
      </c>
      <c r="M23" t="s">
        <v>87</v>
      </c>
      <c r="N23" t="s">
        <v>244</v>
      </c>
    </row>
    <row r="24" spans="1:14">
      <c r="A24" s="13">
        <v>17</v>
      </c>
      <c r="B24" s="14" t="s">
        <v>320</v>
      </c>
      <c r="C24" s="14" t="s">
        <v>62</v>
      </c>
      <c r="D24" s="14" t="s">
        <v>81</v>
      </c>
      <c r="E24" s="14" t="s">
        <v>239</v>
      </c>
      <c r="F24" s="14" t="s">
        <v>240</v>
      </c>
      <c r="G24" s="14">
        <v>7</v>
      </c>
      <c r="H24" s="14" t="s">
        <v>63</v>
      </c>
      <c r="I24" s="14" t="s">
        <v>321</v>
      </c>
      <c r="J24" s="14" t="s">
        <v>322</v>
      </c>
      <c r="K24" s="14">
        <v>1</v>
      </c>
      <c r="L24" s="15" t="s">
        <v>243</v>
      </c>
      <c r="M24" t="s">
        <v>87</v>
      </c>
      <c r="N24" t="s">
        <v>244</v>
      </c>
    </row>
    <row r="25" spans="1:14">
      <c r="A25" s="13">
        <v>18</v>
      </c>
      <c r="B25" s="14" t="s">
        <v>323</v>
      </c>
      <c r="C25" s="14" t="s">
        <v>62</v>
      </c>
      <c r="D25" s="14" t="s">
        <v>81</v>
      </c>
      <c r="E25" s="14" t="s">
        <v>239</v>
      </c>
      <c r="F25" s="14" t="s">
        <v>240</v>
      </c>
      <c r="G25" s="14">
        <v>8</v>
      </c>
      <c r="H25" s="14" t="s">
        <v>63</v>
      </c>
      <c r="I25" s="14" t="s">
        <v>324</v>
      </c>
      <c r="J25" s="14" t="s">
        <v>325</v>
      </c>
      <c r="K25" s="14">
        <v>1</v>
      </c>
      <c r="L25" s="15" t="s">
        <v>243</v>
      </c>
      <c r="M25" t="s">
        <v>87</v>
      </c>
      <c r="N25" t="s">
        <v>244</v>
      </c>
    </row>
    <row r="26" spans="1:14">
      <c r="A26" s="13">
        <v>19</v>
      </c>
      <c r="B26" s="14" t="s">
        <v>326</v>
      </c>
      <c r="C26" s="14" t="s">
        <v>62</v>
      </c>
      <c r="D26" s="14" t="s">
        <v>81</v>
      </c>
      <c r="E26" s="14" t="s">
        <v>239</v>
      </c>
      <c r="F26" s="14" t="s">
        <v>240</v>
      </c>
      <c r="G26" s="14">
        <v>9</v>
      </c>
      <c r="H26" s="14" t="s">
        <v>63</v>
      </c>
      <c r="I26" s="14" t="s">
        <v>327</v>
      </c>
      <c r="J26" s="14" t="s">
        <v>328</v>
      </c>
      <c r="K26" s="14">
        <v>1</v>
      </c>
      <c r="L26" s="15" t="s">
        <v>243</v>
      </c>
      <c r="M26" t="s">
        <v>87</v>
      </c>
      <c r="N26" t="s">
        <v>244</v>
      </c>
    </row>
    <row r="27" spans="1:14">
      <c r="A27" s="13">
        <v>20</v>
      </c>
      <c r="B27" s="14" t="s">
        <v>329</v>
      </c>
      <c r="C27" s="14" t="s">
        <v>62</v>
      </c>
      <c r="D27" s="14" t="s">
        <v>81</v>
      </c>
      <c r="E27" s="14" t="s">
        <v>239</v>
      </c>
      <c r="F27" s="14" t="s">
        <v>240</v>
      </c>
      <c r="G27" s="14">
        <v>10</v>
      </c>
      <c r="H27" s="14" t="s">
        <v>63</v>
      </c>
      <c r="I27" s="14" t="s">
        <v>330</v>
      </c>
      <c r="J27" s="14" t="s">
        <v>331</v>
      </c>
      <c r="K27" s="14">
        <v>1</v>
      </c>
      <c r="L27" s="15" t="s">
        <v>243</v>
      </c>
      <c r="M27" t="s">
        <v>87</v>
      </c>
      <c r="N27" t="s">
        <v>244</v>
      </c>
    </row>
    <row r="28" spans="1:14">
      <c r="A28" s="13">
        <v>21</v>
      </c>
      <c r="B28" s="14" t="s">
        <v>526</v>
      </c>
      <c r="C28" s="14" t="s">
        <v>62</v>
      </c>
      <c r="D28" s="14" t="s">
        <v>476</v>
      </c>
      <c r="E28" s="14" t="s">
        <v>477</v>
      </c>
      <c r="F28" s="14" t="s">
        <v>478</v>
      </c>
      <c r="G28" s="14">
        <v>1</v>
      </c>
      <c r="H28" s="14" t="s">
        <v>479</v>
      </c>
      <c r="I28" s="14" t="s">
        <v>527</v>
      </c>
      <c r="J28" s="14" t="s">
        <v>528</v>
      </c>
      <c r="K28" s="14">
        <v>2</v>
      </c>
      <c r="L28" s="15" t="s">
        <v>243</v>
      </c>
      <c r="M28" t="s">
        <v>482</v>
      </c>
      <c r="N28" t="s">
        <v>483</v>
      </c>
    </row>
    <row r="29" spans="1:14">
      <c r="A29" s="13">
        <v>22</v>
      </c>
      <c r="B29" s="14" t="s">
        <v>529</v>
      </c>
      <c r="C29" s="14" t="s">
        <v>62</v>
      </c>
      <c r="D29" s="14" t="s">
        <v>476</v>
      </c>
      <c r="E29" s="14" t="s">
        <v>477</v>
      </c>
      <c r="F29" s="14" t="s">
        <v>478</v>
      </c>
      <c r="G29" s="14">
        <v>2</v>
      </c>
      <c r="H29" s="14" t="s">
        <v>479</v>
      </c>
      <c r="I29" s="14" t="s">
        <v>527</v>
      </c>
      <c r="J29" s="14" t="s">
        <v>530</v>
      </c>
      <c r="K29" s="14">
        <v>2</v>
      </c>
      <c r="L29" s="15" t="s">
        <v>243</v>
      </c>
      <c r="M29" t="s">
        <v>482</v>
      </c>
      <c r="N29" t="s">
        <v>483</v>
      </c>
    </row>
    <row r="30" spans="1:14">
      <c r="A30" s="13">
        <v>23</v>
      </c>
      <c r="B30" s="14" t="s">
        <v>531</v>
      </c>
      <c r="C30" s="14" t="s">
        <v>62</v>
      </c>
      <c r="D30" s="14" t="s">
        <v>476</v>
      </c>
      <c r="E30" s="14" t="s">
        <v>477</v>
      </c>
      <c r="F30" s="14" t="s">
        <v>478</v>
      </c>
      <c r="G30" s="14">
        <v>3</v>
      </c>
      <c r="H30" s="14" t="s">
        <v>479</v>
      </c>
      <c r="I30" s="14" t="s">
        <v>527</v>
      </c>
      <c r="J30" s="14" t="s">
        <v>532</v>
      </c>
      <c r="K30" s="14">
        <v>2</v>
      </c>
      <c r="L30" s="15" t="s">
        <v>243</v>
      </c>
      <c r="M30" t="s">
        <v>482</v>
      </c>
      <c r="N30" t="s">
        <v>483</v>
      </c>
    </row>
    <row r="31" spans="1:14">
      <c r="A31" s="13">
        <v>24</v>
      </c>
      <c r="B31" s="14" t="s">
        <v>533</v>
      </c>
      <c r="C31" s="14" t="s">
        <v>62</v>
      </c>
      <c r="D31" s="14" t="s">
        <v>476</v>
      </c>
      <c r="E31" s="14" t="s">
        <v>477</v>
      </c>
      <c r="F31" s="14" t="s">
        <v>478</v>
      </c>
      <c r="G31" s="14">
        <v>4</v>
      </c>
      <c r="H31" s="14" t="s">
        <v>479</v>
      </c>
      <c r="I31" s="14" t="s">
        <v>527</v>
      </c>
      <c r="J31" s="14" t="s">
        <v>534</v>
      </c>
      <c r="K31" s="14">
        <v>2</v>
      </c>
      <c r="L31" s="15" t="s">
        <v>243</v>
      </c>
      <c r="M31" t="s">
        <v>482</v>
      </c>
      <c r="N31" t="s">
        <v>483</v>
      </c>
    </row>
    <row r="32" spans="1:14">
      <c r="A32" s="13">
        <v>25</v>
      </c>
      <c r="B32" s="14" t="s">
        <v>535</v>
      </c>
      <c r="C32" s="14" t="s">
        <v>62</v>
      </c>
      <c r="D32" s="14" t="s">
        <v>476</v>
      </c>
      <c r="E32" s="14" t="s">
        <v>477</v>
      </c>
      <c r="F32" s="14" t="s">
        <v>478</v>
      </c>
      <c r="G32" s="14">
        <v>5</v>
      </c>
      <c r="H32" s="14" t="s">
        <v>479</v>
      </c>
      <c r="I32" s="14" t="s">
        <v>527</v>
      </c>
      <c r="J32" s="14" t="s">
        <v>536</v>
      </c>
      <c r="K32" s="14">
        <v>2</v>
      </c>
      <c r="L32" s="15" t="s">
        <v>243</v>
      </c>
      <c r="M32" t="s">
        <v>482</v>
      </c>
      <c r="N32" t="s">
        <v>483</v>
      </c>
    </row>
    <row r="33" spans="1:14">
      <c r="A33" s="13">
        <v>26</v>
      </c>
      <c r="B33" s="14" t="s">
        <v>537</v>
      </c>
      <c r="C33" s="14" t="s">
        <v>62</v>
      </c>
      <c r="D33" s="14" t="s">
        <v>476</v>
      </c>
      <c r="E33" s="14" t="s">
        <v>477</v>
      </c>
      <c r="F33" s="14" t="s">
        <v>478</v>
      </c>
      <c r="G33" s="14">
        <v>6</v>
      </c>
      <c r="H33" s="14" t="s">
        <v>479</v>
      </c>
      <c r="I33" s="14" t="s">
        <v>538</v>
      </c>
      <c r="J33" s="14" t="s">
        <v>539</v>
      </c>
      <c r="K33" s="14">
        <v>2</v>
      </c>
      <c r="L33" s="15" t="s">
        <v>243</v>
      </c>
      <c r="M33" t="s">
        <v>482</v>
      </c>
      <c r="N33" t="s">
        <v>495</v>
      </c>
    </row>
    <row r="34" spans="1:14">
      <c r="A34" s="13">
        <v>27</v>
      </c>
      <c r="B34" s="14" t="s">
        <v>540</v>
      </c>
      <c r="C34" s="14" t="s">
        <v>62</v>
      </c>
      <c r="D34" s="14" t="s">
        <v>476</v>
      </c>
      <c r="E34" s="14" t="s">
        <v>477</v>
      </c>
      <c r="F34" s="14" t="s">
        <v>478</v>
      </c>
      <c r="G34" s="14">
        <v>7</v>
      </c>
      <c r="H34" s="14" t="s">
        <v>479</v>
      </c>
      <c r="I34" s="14" t="s">
        <v>538</v>
      </c>
      <c r="J34" s="14" t="s">
        <v>541</v>
      </c>
      <c r="K34" s="14">
        <v>2</v>
      </c>
      <c r="L34" s="15" t="s">
        <v>243</v>
      </c>
      <c r="M34" t="s">
        <v>482</v>
      </c>
      <c r="N34" t="s">
        <v>495</v>
      </c>
    </row>
    <row r="35" spans="1:14">
      <c r="A35" s="13">
        <v>28</v>
      </c>
      <c r="B35" s="14" t="s">
        <v>542</v>
      </c>
      <c r="C35" s="14" t="s">
        <v>62</v>
      </c>
      <c r="D35" s="14" t="s">
        <v>476</v>
      </c>
      <c r="E35" s="14" t="s">
        <v>477</v>
      </c>
      <c r="F35" s="14" t="s">
        <v>478</v>
      </c>
      <c r="G35" s="14">
        <v>8</v>
      </c>
      <c r="H35" s="14" t="s">
        <v>479</v>
      </c>
      <c r="I35" s="14" t="s">
        <v>538</v>
      </c>
      <c r="J35" s="14" t="s">
        <v>543</v>
      </c>
      <c r="K35" s="14">
        <v>2</v>
      </c>
      <c r="L35" s="15" t="s">
        <v>243</v>
      </c>
      <c r="M35" t="s">
        <v>482</v>
      </c>
      <c r="N35" t="s">
        <v>495</v>
      </c>
    </row>
    <row r="36" spans="1:14">
      <c r="A36" s="13">
        <v>29</v>
      </c>
      <c r="B36" s="14" t="s">
        <v>544</v>
      </c>
      <c r="C36" s="14" t="s">
        <v>62</v>
      </c>
      <c r="D36" s="14" t="s">
        <v>476</v>
      </c>
      <c r="E36" s="14" t="s">
        <v>477</v>
      </c>
      <c r="F36" s="14" t="s">
        <v>478</v>
      </c>
      <c r="G36" s="14">
        <v>9</v>
      </c>
      <c r="H36" s="14" t="s">
        <v>479</v>
      </c>
      <c r="I36" s="14" t="s">
        <v>538</v>
      </c>
      <c r="J36" s="14" t="s">
        <v>545</v>
      </c>
      <c r="K36" s="14">
        <v>2</v>
      </c>
      <c r="L36" s="15" t="s">
        <v>243</v>
      </c>
      <c r="M36" t="s">
        <v>482</v>
      </c>
      <c r="N36" t="s">
        <v>495</v>
      </c>
    </row>
    <row r="37" spans="1:14">
      <c r="A37" s="13">
        <v>30</v>
      </c>
      <c r="B37" s="14" t="s">
        <v>546</v>
      </c>
      <c r="C37" s="14" t="s">
        <v>62</v>
      </c>
      <c r="D37" s="14" t="s">
        <v>476</v>
      </c>
      <c r="E37" s="14" t="s">
        <v>477</v>
      </c>
      <c r="F37" s="14" t="s">
        <v>478</v>
      </c>
      <c r="G37" s="14">
        <v>10</v>
      </c>
      <c r="H37" s="14" t="s">
        <v>479</v>
      </c>
      <c r="I37" s="14" t="s">
        <v>538</v>
      </c>
      <c r="J37" s="14" t="s">
        <v>547</v>
      </c>
      <c r="K37" s="14">
        <v>2</v>
      </c>
      <c r="L37" s="15" t="s">
        <v>243</v>
      </c>
      <c r="M37" t="s">
        <v>482</v>
      </c>
      <c r="N37" t="s">
        <v>495</v>
      </c>
    </row>
    <row r="38" spans="1:14">
      <c r="A38" s="13">
        <v>31</v>
      </c>
      <c r="B38" s="14" t="s">
        <v>431</v>
      </c>
      <c r="C38" s="14" t="s">
        <v>62</v>
      </c>
      <c r="D38" s="14" t="s">
        <v>81</v>
      </c>
      <c r="E38" s="14" t="s">
        <v>393</v>
      </c>
      <c r="F38" s="14" t="s">
        <v>394</v>
      </c>
      <c r="G38" s="14">
        <v>1</v>
      </c>
      <c r="H38" s="14" t="s">
        <v>395</v>
      </c>
      <c r="I38" s="14" t="s">
        <v>396</v>
      </c>
      <c r="J38" s="14" t="s">
        <v>432</v>
      </c>
      <c r="K38" s="14">
        <v>5</v>
      </c>
      <c r="L38" s="15" t="s">
        <v>243</v>
      </c>
      <c r="M38" t="s">
        <v>398</v>
      </c>
      <c r="N38" t="s">
        <v>399</v>
      </c>
    </row>
    <row r="39" spans="1:14">
      <c r="A39" s="13">
        <v>32</v>
      </c>
      <c r="B39" s="14" t="s">
        <v>439</v>
      </c>
      <c r="C39" s="14" t="s">
        <v>62</v>
      </c>
      <c r="D39" s="14" t="s">
        <v>81</v>
      </c>
      <c r="E39" s="14" t="s">
        <v>393</v>
      </c>
      <c r="F39" s="14" t="s">
        <v>407</v>
      </c>
      <c r="G39" s="14">
        <v>1</v>
      </c>
      <c r="H39" s="14" t="s">
        <v>408</v>
      </c>
      <c r="I39" s="14" t="s">
        <v>409</v>
      </c>
      <c r="J39" s="14" t="s">
        <v>440</v>
      </c>
      <c r="K39" s="14">
        <v>5</v>
      </c>
      <c r="L39" s="15" t="s">
        <v>243</v>
      </c>
      <c r="M39" t="s">
        <v>411</v>
      </c>
      <c r="N39" t="s">
        <v>412</v>
      </c>
    </row>
    <row r="40" spans="1:14">
      <c r="A40" s="13">
        <v>33</v>
      </c>
      <c r="B40" s="14" t="s">
        <v>433</v>
      </c>
      <c r="C40" s="14" t="s">
        <v>62</v>
      </c>
      <c r="D40" s="14" t="s">
        <v>81</v>
      </c>
      <c r="E40" s="14" t="s">
        <v>393</v>
      </c>
      <c r="F40" s="14" t="s">
        <v>394</v>
      </c>
      <c r="G40" s="14">
        <v>2</v>
      </c>
      <c r="H40" s="14" t="s">
        <v>395</v>
      </c>
      <c r="I40" s="14" t="s">
        <v>396</v>
      </c>
      <c r="J40" s="14" t="s">
        <v>434</v>
      </c>
      <c r="K40" s="14">
        <v>5</v>
      </c>
      <c r="L40" s="15" t="s">
        <v>243</v>
      </c>
      <c r="M40" t="s">
        <v>398</v>
      </c>
      <c r="N40" t="s">
        <v>399</v>
      </c>
    </row>
    <row r="41" spans="1:14">
      <c r="A41" s="13">
        <v>34</v>
      </c>
      <c r="B41" s="14" t="s">
        <v>441</v>
      </c>
      <c r="C41" s="14" t="s">
        <v>62</v>
      </c>
      <c r="D41" s="14" t="s">
        <v>81</v>
      </c>
      <c r="E41" s="14" t="s">
        <v>393</v>
      </c>
      <c r="F41" s="14" t="s">
        <v>407</v>
      </c>
      <c r="G41" s="14">
        <v>2</v>
      </c>
      <c r="H41" s="14" t="s">
        <v>408</v>
      </c>
      <c r="I41" s="14" t="s">
        <v>409</v>
      </c>
      <c r="J41" s="14" t="s">
        <v>442</v>
      </c>
      <c r="K41" s="14">
        <v>5</v>
      </c>
      <c r="L41" s="15" t="s">
        <v>243</v>
      </c>
      <c r="M41" t="s">
        <v>411</v>
      </c>
      <c r="N41" t="s">
        <v>412</v>
      </c>
    </row>
    <row r="42" spans="1:14">
      <c r="A42" s="13">
        <v>35</v>
      </c>
      <c r="B42" s="14" t="s">
        <v>435</v>
      </c>
      <c r="C42" s="14" t="s">
        <v>62</v>
      </c>
      <c r="D42" s="14" t="s">
        <v>81</v>
      </c>
      <c r="E42" s="14" t="s">
        <v>393</v>
      </c>
      <c r="F42" s="14" t="s">
        <v>394</v>
      </c>
      <c r="G42" s="14">
        <v>3</v>
      </c>
      <c r="H42" s="14" t="s">
        <v>395</v>
      </c>
      <c r="I42" s="14" t="s">
        <v>396</v>
      </c>
      <c r="J42" s="14" t="s">
        <v>436</v>
      </c>
      <c r="K42" s="14">
        <v>5</v>
      </c>
      <c r="L42" s="15" t="s">
        <v>243</v>
      </c>
      <c r="M42" t="s">
        <v>398</v>
      </c>
      <c r="N42" t="s">
        <v>399</v>
      </c>
    </row>
    <row r="43" spans="1:14">
      <c r="A43" s="13">
        <v>36</v>
      </c>
      <c r="B43" s="14" t="s">
        <v>443</v>
      </c>
      <c r="C43" s="14" t="s">
        <v>62</v>
      </c>
      <c r="D43" s="14" t="s">
        <v>81</v>
      </c>
      <c r="E43" s="14" t="s">
        <v>393</v>
      </c>
      <c r="F43" s="14" t="s">
        <v>407</v>
      </c>
      <c r="G43" s="14">
        <v>3</v>
      </c>
      <c r="H43" s="14" t="s">
        <v>408</v>
      </c>
      <c r="I43" s="14" t="s">
        <v>409</v>
      </c>
      <c r="J43" s="14" t="s">
        <v>444</v>
      </c>
      <c r="K43" s="14">
        <v>5</v>
      </c>
      <c r="L43" s="15" t="s">
        <v>243</v>
      </c>
      <c r="M43" t="s">
        <v>411</v>
      </c>
      <c r="N43" t="s">
        <v>412</v>
      </c>
    </row>
    <row r="44" spans="1:14">
      <c r="A44" s="13">
        <v>37</v>
      </c>
      <c r="B44" s="14" t="s">
        <v>437</v>
      </c>
      <c r="C44" s="14" t="s">
        <v>62</v>
      </c>
      <c r="D44" s="14" t="s">
        <v>81</v>
      </c>
      <c r="E44" s="14" t="s">
        <v>393</v>
      </c>
      <c r="F44" s="14" t="s">
        <v>394</v>
      </c>
      <c r="G44" s="14">
        <v>4</v>
      </c>
      <c r="H44" s="14" t="s">
        <v>395</v>
      </c>
      <c r="I44" s="14" t="s">
        <v>396</v>
      </c>
      <c r="J44" s="14" t="s">
        <v>438</v>
      </c>
      <c r="K44" s="14">
        <v>5</v>
      </c>
      <c r="L44" s="15" t="s">
        <v>243</v>
      </c>
      <c r="M44" t="s">
        <v>398</v>
      </c>
      <c r="N44" t="s">
        <v>399</v>
      </c>
    </row>
    <row r="45" spans="1:14">
      <c r="A45" s="21">
        <v>38</v>
      </c>
      <c r="B45" s="22" t="s">
        <v>603</v>
      </c>
      <c r="C45" s="22" t="s">
        <v>62</v>
      </c>
      <c r="D45" s="22" t="s">
        <v>476</v>
      </c>
      <c r="E45" s="22" t="s">
        <v>593</v>
      </c>
      <c r="F45" s="22" t="s">
        <v>594</v>
      </c>
      <c r="G45" s="22">
        <v>1</v>
      </c>
      <c r="H45" s="22" t="s">
        <v>595</v>
      </c>
      <c r="I45" s="22" t="s">
        <v>604</v>
      </c>
      <c r="J45" s="22" t="s">
        <v>605</v>
      </c>
      <c r="K45" s="22">
        <v>25</v>
      </c>
      <c r="L45" s="23" t="s">
        <v>243</v>
      </c>
      <c r="M45" t="s">
        <v>598</v>
      </c>
      <c r="N45" t="s">
        <v>599</v>
      </c>
    </row>
  </sheetData>
  <mergeCells count="3">
    <mergeCell ref="A1:L1"/>
    <mergeCell ref="N1:Q1"/>
    <mergeCell ref="A2:L2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5"/>
  <sheetViews>
    <sheetView topLeftCell="A2" workbookViewId="0">
      <selection activeCell="A7" sqref="$A7:$XFD7"/>
    </sheetView>
  </sheetViews>
  <sheetFormatPr defaultColWidth="9" defaultRowHeight="14.1"/>
  <cols>
    <col min="1" max="1" width="6" customWidth="1"/>
    <col min="2" max="2" width="16" customWidth="1"/>
    <col min="3" max="3" width="10" customWidth="1"/>
    <col min="4" max="4" width="8" customWidth="1"/>
    <col min="5" max="5" width="18" customWidth="1"/>
    <col min="6" max="6" width="24" customWidth="1"/>
    <col min="7" max="7" width="22" customWidth="1"/>
    <col min="8" max="8" width="80" customWidth="1"/>
    <col min="9" max="10" width="8" customWidth="1"/>
    <col min="11" max="11" width="16" customWidth="1"/>
    <col min="12" max="12" width="20" customWidth="1"/>
    <col min="14" max="15" width="16" customWidth="1"/>
  </cols>
  <sheetData>
    <row r="1" ht="17.55" spans="1:17">
      <c r="A1" s="1" t="s">
        <v>654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N1" s="2" t="s">
        <v>643</v>
      </c>
      <c r="O1" s="2"/>
      <c r="P1" s="2"/>
      <c r="Q1" s="2"/>
    </row>
    <row r="2" ht="14.15" spans="1:17">
      <c r="A2" s="24" t="s">
        <v>655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N2" s="4" t="s">
        <v>644</v>
      </c>
      <c r="O2" s="5">
        <v>100</v>
      </c>
    </row>
    <row r="3" ht="14.15" spans="1:17">
      <c r="N3" s="6" t="s">
        <v>645</v>
      </c>
      <c r="O3" s="7">
        <f>SUM(I8:I45)</f>
        <v>0</v>
      </c>
    </row>
    <row r="4" ht="14.15" spans="1:17">
      <c r="N4" s="6" t="s">
        <v>646</v>
      </c>
      <c r="O4" s="7">
        <f>SUMIF(D8:D45,"Part I",I8:I45)</f>
        <v>0</v>
      </c>
    </row>
    <row r="5" ht="14.15" spans="1:17">
      <c r="N5" s="6" t="s">
        <v>647</v>
      </c>
      <c r="O5" s="7">
        <f>SUMIF(D8:D45,"Part II",I8:I45)</f>
        <v>0</v>
      </c>
    </row>
    <row r="6" ht="14.15" spans="1:17">
      <c r="N6" s="6" t="s">
        <v>648</v>
      </c>
      <c r="O6" s="7">
        <f>SUMIF(D8:D45,"Part III",I8:I45)</f>
        <v>0</v>
      </c>
    </row>
    <row r="7" ht="15" customHeight="1" spans="1:17">
      <c r="A7" s="8" t="s">
        <v>649</v>
      </c>
      <c r="B7" s="9" t="s">
        <v>70</v>
      </c>
      <c r="C7" s="10" t="s">
        <v>650</v>
      </c>
      <c r="D7" s="9" t="s">
        <v>71</v>
      </c>
      <c r="E7" s="9" t="s">
        <v>72</v>
      </c>
      <c r="F7" s="10" t="s">
        <v>73</v>
      </c>
      <c r="G7" s="10" t="s">
        <v>651</v>
      </c>
      <c r="H7" t="s">
        <v>75</v>
      </c>
      <c r="I7" s="9" t="s">
        <v>76</v>
      </c>
      <c r="J7" s="11" t="s">
        <v>652</v>
      </c>
      <c r="K7" s="11" t="s">
        <v>78</v>
      </c>
      <c r="L7" s="11" t="s">
        <v>79</v>
      </c>
      <c r="M7" s="9" t="s">
        <v>53</v>
      </c>
      <c r="N7" s="12" t="s">
        <v>21</v>
      </c>
      <c r="O7" s="7">
        <f>SUMIF(D8:D45,"Part IV",I8:I45)</f>
        <v>0</v>
      </c>
    </row>
    <row r="8" ht="15" customHeight="1" spans="1:17">
      <c r="A8" s="13">
        <v>1</v>
      </c>
      <c r="B8" s="14" t="s">
        <v>178</v>
      </c>
      <c r="C8" s="14" t="s">
        <v>64</v>
      </c>
      <c r="D8" s="14" t="s">
        <v>81</v>
      </c>
      <c r="E8" s="14" t="s">
        <v>82</v>
      </c>
      <c r="F8" s="14" t="s">
        <v>83</v>
      </c>
      <c r="G8" s="14">
        <v>1</v>
      </c>
      <c r="H8" s="14" t="s">
        <v>38</v>
      </c>
      <c r="I8" s="14" t="s">
        <v>179</v>
      </c>
      <c r="J8" s="14" t="s">
        <v>180</v>
      </c>
      <c r="K8" s="14">
        <v>1</v>
      </c>
      <c r="L8" s="15" t="s">
        <v>86</v>
      </c>
      <c r="M8" t="s">
        <v>87</v>
      </c>
      <c r="N8" s="6" t="s">
        <v>88</v>
      </c>
      <c r="O8" s="7">
        <f>SUMIF(D8:D45,"Part V",I8:I45)</f>
        <v>0</v>
      </c>
    </row>
    <row r="9" ht="15" customHeight="1" spans="1:17">
      <c r="A9" s="13">
        <v>2</v>
      </c>
      <c r="B9" s="14" t="s">
        <v>181</v>
      </c>
      <c r="C9" s="14" t="s">
        <v>64</v>
      </c>
      <c r="D9" s="14" t="s">
        <v>81</v>
      </c>
      <c r="E9" s="14" t="s">
        <v>82</v>
      </c>
      <c r="F9" s="14" t="s">
        <v>83</v>
      </c>
      <c r="G9" s="14">
        <v>2</v>
      </c>
      <c r="H9" s="14" t="s">
        <v>22</v>
      </c>
      <c r="I9" s="14" t="s">
        <v>182</v>
      </c>
      <c r="J9" s="14" t="s">
        <v>183</v>
      </c>
      <c r="K9" s="14">
        <v>1</v>
      </c>
      <c r="L9" s="15" t="s">
        <v>86</v>
      </c>
      <c r="M9" t="s">
        <v>87</v>
      </c>
      <c r="N9" s="6" t="s">
        <v>88</v>
      </c>
      <c r="O9" s="7">
        <v>90</v>
      </c>
    </row>
    <row r="10" ht="15" customHeight="1" spans="1:17">
      <c r="A10" s="13">
        <v>3</v>
      </c>
      <c r="B10" s="14" t="s">
        <v>184</v>
      </c>
      <c r="C10" s="14" t="s">
        <v>64</v>
      </c>
      <c r="D10" s="14" t="s">
        <v>81</v>
      </c>
      <c r="E10" s="14" t="s">
        <v>82</v>
      </c>
      <c r="F10" s="14" t="s">
        <v>83</v>
      </c>
      <c r="G10" s="14">
        <v>3</v>
      </c>
      <c r="H10" s="14" t="s">
        <v>22</v>
      </c>
      <c r="I10" s="14" t="s">
        <v>185</v>
      </c>
      <c r="J10" s="14" t="s">
        <v>186</v>
      </c>
      <c r="K10" s="14">
        <v>1</v>
      </c>
      <c r="L10" s="15" t="s">
        <v>86</v>
      </c>
      <c r="M10" t="s">
        <v>87</v>
      </c>
      <c r="N10" s="19" t="s">
        <v>88</v>
      </c>
      <c r="O10" s="20">
        <v>120</v>
      </c>
    </row>
    <row r="11" ht="15" customHeight="1" spans="1:17">
      <c r="A11" s="13">
        <v>4</v>
      </c>
      <c r="B11" s="14" t="s">
        <v>187</v>
      </c>
      <c r="C11" s="14" t="s">
        <v>64</v>
      </c>
      <c r="D11" s="14" t="s">
        <v>81</v>
      </c>
      <c r="E11" s="14" t="s">
        <v>82</v>
      </c>
      <c r="F11" s="14" t="s">
        <v>83</v>
      </c>
      <c r="G11" s="14">
        <v>4</v>
      </c>
      <c r="H11" s="14" t="s">
        <v>22</v>
      </c>
      <c r="I11" s="14" t="s">
        <v>188</v>
      </c>
      <c r="J11" s="14" t="s">
        <v>189</v>
      </c>
      <c r="K11" s="14">
        <v>1</v>
      </c>
      <c r="L11" s="15" t="s">
        <v>86</v>
      </c>
      <c r="M11" t="s">
        <v>87</v>
      </c>
      <c r="N11" t="s">
        <v>88</v>
      </c>
    </row>
    <row r="12" ht="15" customHeight="1" spans="1:17">
      <c r="A12" s="16">
        <v>5</v>
      </c>
      <c r="B12" s="17" t="s">
        <v>190</v>
      </c>
      <c r="C12" s="17" t="s">
        <v>64</v>
      </c>
      <c r="D12" s="17" t="s">
        <v>81</v>
      </c>
      <c r="E12" s="17" t="s">
        <v>82</v>
      </c>
      <c r="F12" s="17" t="s">
        <v>83</v>
      </c>
      <c r="G12" s="17">
        <v>5</v>
      </c>
      <c r="H12" s="17" t="s">
        <v>90</v>
      </c>
      <c r="I12" s="17" t="s">
        <v>191</v>
      </c>
      <c r="J12" s="17" t="s">
        <v>192</v>
      </c>
      <c r="K12" s="17">
        <v>1</v>
      </c>
      <c r="L12" s="18" t="s">
        <v>86</v>
      </c>
      <c r="M12" t="s">
        <v>93</v>
      </c>
      <c r="N12" t="s">
        <v>88</v>
      </c>
    </row>
    <row r="13" ht="15" customHeight="1" spans="1:17">
      <c r="A13" s="13">
        <v>6</v>
      </c>
      <c r="B13" s="14" t="s">
        <v>193</v>
      </c>
      <c r="C13" s="14" t="s">
        <v>64</v>
      </c>
      <c r="D13" s="14" t="s">
        <v>81</v>
      </c>
      <c r="E13" s="14" t="s">
        <v>82</v>
      </c>
      <c r="F13" s="14" t="s">
        <v>83</v>
      </c>
      <c r="G13" s="14">
        <v>6</v>
      </c>
      <c r="H13" s="14" t="s">
        <v>22</v>
      </c>
      <c r="I13" s="14" t="s">
        <v>194</v>
      </c>
      <c r="J13" s="14" t="s">
        <v>195</v>
      </c>
      <c r="K13" s="14">
        <v>1</v>
      </c>
      <c r="L13" s="15" t="s">
        <v>86</v>
      </c>
      <c r="M13" t="s">
        <v>87</v>
      </c>
      <c r="N13" t="s">
        <v>88</v>
      </c>
    </row>
    <row r="14" ht="15" customHeight="1" spans="1:17">
      <c r="A14" s="13">
        <v>7</v>
      </c>
      <c r="B14" s="14" t="s">
        <v>196</v>
      </c>
      <c r="C14" s="14" t="s">
        <v>64</v>
      </c>
      <c r="D14" s="14" t="s">
        <v>81</v>
      </c>
      <c r="E14" s="14" t="s">
        <v>82</v>
      </c>
      <c r="F14" s="14" t="s">
        <v>83</v>
      </c>
      <c r="G14" s="14">
        <v>7</v>
      </c>
      <c r="H14" s="14" t="s">
        <v>22</v>
      </c>
      <c r="I14" s="14" t="s">
        <v>197</v>
      </c>
      <c r="J14" s="14" t="s">
        <v>198</v>
      </c>
      <c r="K14" s="14">
        <v>1</v>
      </c>
      <c r="L14" s="15" t="s">
        <v>86</v>
      </c>
      <c r="M14" t="s">
        <v>87</v>
      </c>
      <c r="N14" t="s">
        <v>88</v>
      </c>
    </row>
    <row r="15" ht="15" customHeight="1" spans="1:17">
      <c r="A15" s="13">
        <v>8</v>
      </c>
      <c r="B15" s="14" t="s">
        <v>199</v>
      </c>
      <c r="C15" s="14" t="s">
        <v>64</v>
      </c>
      <c r="D15" s="14" t="s">
        <v>81</v>
      </c>
      <c r="E15" s="14" t="s">
        <v>82</v>
      </c>
      <c r="F15" s="14" t="s">
        <v>83</v>
      </c>
      <c r="G15" s="14">
        <v>8</v>
      </c>
      <c r="H15" s="14" t="s">
        <v>22</v>
      </c>
      <c r="I15" s="14" t="s">
        <v>200</v>
      </c>
      <c r="J15" s="14" t="s">
        <v>201</v>
      </c>
      <c r="K15" s="14">
        <v>1</v>
      </c>
      <c r="L15" s="15" t="s">
        <v>86</v>
      </c>
      <c r="M15" t="s">
        <v>87</v>
      </c>
      <c r="N15" t="s">
        <v>88</v>
      </c>
    </row>
    <row r="16" ht="15" customHeight="1" spans="1:17">
      <c r="A16" s="16">
        <v>9</v>
      </c>
      <c r="B16" s="17" t="s">
        <v>202</v>
      </c>
      <c r="C16" s="17" t="s">
        <v>64</v>
      </c>
      <c r="D16" s="17" t="s">
        <v>81</v>
      </c>
      <c r="E16" s="17" t="s">
        <v>82</v>
      </c>
      <c r="F16" s="17" t="s">
        <v>83</v>
      </c>
      <c r="G16" s="17">
        <v>9</v>
      </c>
      <c r="H16" s="17" t="s">
        <v>90</v>
      </c>
      <c r="I16" s="17" t="s">
        <v>203</v>
      </c>
      <c r="J16" s="17" t="s">
        <v>204</v>
      </c>
      <c r="K16" s="17">
        <v>1</v>
      </c>
      <c r="L16" s="18" t="s">
        <v>86</v>
      </c>
      <c r="M16" t="s">
        <v>93</v>
      </c>
      <c r="N16" t="s">
        <v>88</v>
      </c>
    </row>
    <row r="17" ht="15" customHeight="1" spans="1:14">
      <c r="A17" s="16">
        <v>10</v>
      </c>
      <c r="B17" s="17" t="s">
        <v>205</v>
      </c>
      <c r="C17" s="17" t="s">
        <v>64</v>
      </c>
      <c r="D17" s="17" t="s">
        <v>81</v>
      </c>
      <c r="E17" s="17" t="s">
        <v>82</v>
      </c>
      <c r="F17" s="17" t="s">
        <v>83</v>
      </c>
      <c r="G17" s="17">
        <v>10</v>
      </c>
      <c r="H17" s="17" t="s">
        <v>90</v>
      </c>
      <c r="I17" s="17" t="s">
        <v>206</v>
      </c>
      <c r="J17" s="17" t="s">
        <v>207</v>
      </c>
      <c r="K17" s="17">
        <v>1</v>
      </c>
      <c r="L17" s="18" t="s">
        <v>86</v>
      </c>
      <c r="M17" t="s">
        <v>93</v>
      </c>
      <c r="N17" t="s">
        <v>88</v>
      </c>
    </row>
    <row r="18" ht="15" customHeight="1" spans="1:14">
      <c r="A18" s="13">
        <v>11</v>
      </c>
      <c r="B18" s="14" t="s">
        <v>332</v>
      </c>
      <c r="C18" s="14" t="s">
        <v>64</v>
      </c>
      <c r="D18" s="14" t="s">
        <v>81</v>
      </c>
      <c r="E18" s="14" t="s">
        <v>239</v>
      </c>
      <c r="F18" s="14" t="s">
        <v>240</v>
      </c>
      <c r="G18" s="14">
        <v>1</v>
      </c>
      <c r="H18" s="14" t="s">
        <v>65</v>
      </c>
      <c r="I18" s="14" t="s">
        <v>333</v>
      </c>
      <c r="J18" s="14" t="s">
        <v>334</v>
      </c>
      <c r="K18" s="14">
        <v>1</v>
      </c>
      <c r="L18" s="15" t="s">
        <v>243</v>
      </c>
      <c r="M18" t="s">
        <v>87</v>
      </c>
      <c r="N18" t="s">
        <v>244</v>
      </c>
    </row>
    <row r="19" ht="15" customHeight="1" spans="1:14">
      <c r="A19" s="13">
        <v>12</v>
      </c>
      <c r="B19" s="14" t="s">
        <v>335</v>
      </c>
      <c r="C19" s="14" t="s">
        <v>64</v>
      </c>
      <c r="D19" s="14" t="s">
        <v>81</v>
      </c>
      <c r="E19" s="14" t="s">
        <v>239</v>
      </c>
      <c r="F19" s="14" t="s">
        <v>240</v>
      </c>
      <c r="G19" s="14">
        <v>2</v>
      </c>
      <c r="H19" s="14" t="s">
        <v>65</v>
      </c>
      <c r="I19" s="14" t="s">
        <v>336</v>
      </c>
      <c r="J19" s="14" t="s">
        <v>337</v>
      </c>
      <c r="K19" s="14">
        <v>1</v>
      </c>
      <c r="L19" s="15" t="s">
        <v>243</v>
      </c>
      <c r="M19" t="s">
        <v>87</v>
      </c>
      <c r="N19" t="s">
        <v>244</v>
      </c>
    </row>
    <row r="20" ht="15" customHeight="1" spans="1:14">
      <c r="A20" s="13">
        <v>13</v>
      </c>
      <c r="B20" s="14" t="s">
        <v>338</v>
      </c>
      <c r="C20" s="14" t="s">
        <v>64</v>
      </c>
      <c r="D20" s="14" t="s">
        <v>81</v>
      </c>
      <c r="E20" s="14" t="s">
        <v>239</v>
      </c>
      <c r="F20" s="14" t="s">
        <v>240</v>
      </c>
      <c r="G20" s="14">
        <v>3</v>
      </c>
      <c r="H20" s="14" t="s">
        <v>65</v>
      </c>
      <c r="I20" s="14" t="s">
        <v>339</v>
      </c>
      <c r="J20" s="14" t="s">
        <v>340</v>
      </c>
      <c r="K20" s="14">
        <v>1</v>
      </c>
      <c r="L20" s="15" t="s">
        <v>243</v>
      </c>
      <c r="M20" t="s">
        <v>87</v>
      </c>
      <c r="N20" t="s">
        <v>244</v>
      </c>
    </row>
    <row r="21" ht="15" customHeight="1" spans="1:14">
      <c r="A21" s="13">
        <v>14</v>
      </c>
      <c r="B21" s="14" t="s">
        <v>341</v>
      </c>
      <c r="C21" s="14" t="s">
        <v>64</v>
      </c>
      <c r="D21" s="14" t="s">
        <v>81</v>
      </c>
      <c r="E21" s="14" t="s">
        <v>239</v>
      </c>
      <c r="F21" s="14" t="s">
        <v>240</v>
      </c>
      <c r="G21" s="14">
        <v>4</v>
      </c>
      <c r="H21" s="14" t="s">
        <v>65</v>
      </c>
      <c r="I21" s="14" t="s">
        <v>342</v>
      </c>
      <c r="J21" s="14" t="s">
        <v>343</v>
      </c>
      <c r="K21" s="14">
        <v>1</v>
      </c>
      <c r="L21" s="15" t="s">
        <v>243</v>
      </c>
      <c r="M21" t="s">
        <v>87</v>
      </c>
      <c r="N21" t="s">
        <v>244</v>
      </c>
    </row>
    <row r="22" ht="15" customHeight="1" spans="1:14">
      <c r="A22" s="13">
        <v>15</v>
      </c>
      <c r="B22" s="14" t="s">
        <v>344</v>
      </c>
      <c r="C22" s="14" t="s">
        <v>64</v>
      </c>
      <c r="D22" s="14" t="s">
        <v>81</v>
      </c>
      <c r="E22" s="14" t="s">
        <v>239</v>
      </c>
      <c r="F22" s="14" t="s">
        <v>240</v>
      </c>
      <c r="G22" s="14">
        <v>5</v>
      </c>
      <c r="H22" s="14" t="s">
        <v>65</v>
      </c>
      <c r="I22" s="14" t="s">
        <v>345</v>
      </c>
      <c r="J22" s="14" t="s">
        <v>346</v>
      </c>
      <c r="K22" s="14">
        <v>1</v>
      </c>
      <c r="L22" s="15" t="s">
        <v>243</v>
      </c>
      <c r="M22" t="s">
        <v>87</v>
      </c>
      <c r="N22" t="s">
        <v>244</v>
      </c>
    </row>
    <row r="23" spans="1:14">
      <c r="A23" s="13">
        <v>16</v>
      </c>
      <c r="B23" s="14" t="s">
        <v>347</v>
      </c>
      <c r="C23" s="14" t="s">
        <v>64</v>
      </c>
      <c r="D23" s="14" t="s">
        <v>81</v>
      </c>
      <c r="E23" s="14" t="s">
        <v>239</v>
      </c>
      <c r="F23" s="14" t="s">
        <v>240</v>
      </c>
      <c r="G23" s="14">
        <v>6</v>
      </c>
      <c r="H23" s="14" t="s">
        <v>65</v>
      </c>
      <c r="I23" s="14" t="s">
        <v>348</v>
      </c>
      <c r="J23" s="14" t="s">
        <v>349</v>
      </c>
      <c r="K23" s="14">
        <v>1</v>
      </c>
      <c r="L23" s="15" t="s">
        <v>243</v>
      </c>
      <c r="M23" t="s">
        <v>87</v>
      </c>
      <c r="N23" t="s">
        <v>244</v>
      </c>
    </row>
    <row r="24" spans="1:14">
      <c r="A24" s="13">
        <v>17</v>
      </c>
      <c r="B24" s="14" t="s">
        <v>350</v>
      </c>
      <c r="C24" s="14" t="s">
        <v>64</v>
      </c>
      <c r="D24" s="14" t="s">
        <v>81</v>
      </c>
      <c r="E24" s="14" t="s">
        <v>239</v>
      </c>
      <c r="F24" s="14" t="s">
        <v>240</v>
      </c>
      <c r="G24" s="14">
        <v>7</v>
      </c>
      <c r="H24" s="14" t="s">
        <v>65</v>
      </c>
      <c r="I24" s="14" t="s">
        <v>351</v>
      </c>
      <c r="J24" s="14" t="s">
        <v>352</v>
      </c>
      <c r="K24" s="14">
        <v>1</v>
      </c>
      <c r="L24" s="15" t="s">
        <v>243</v>
      </c>
      <c r="M24" t="s">
        <v>87</v>
      </c>
      <c r="N24" t="s">
        <v>244</v>
      </c>
    </row>
    <row r="25" spans="1:14">
      <c r="A25" s="13">
        <v>18</v>
      </c>
      <c r="B25" s="14" t="s">
        <v>353</v>
      </c>
      <c r="C25" s="14" t="s">
        <v>64</v>
      </c>
      <c r="D25" s="14" t="s">
        <v>81</v>
      </c>
      <c r="E25" s="14" t="s">
        <v>239</v>
      </c>
      <c r="F25" s="14" t="s">
        <v>240</v>
      </c>
      <c r="G25" s="14">
        <v>8</v>
      </c>
      <c r="H25" s="14" t="s">
        <v>65</v>
      </c>
      <c r="I25" s="14" t="s">
        <v>354</v>
      </c>
      <c r="J25" s="14" t="s">
        <v>355</v>
      </c>
      <c r="K25" s="14">
        <v>1</v>
      </c>
      <c r="L25" s="15" t="s">
        <v>243</v>
      </c>
      <c r="M25" t="s">
        <v>87</v>
      </c>
      <c r="N25" t="s">
        <v>244</v>
      </c>
    </row>
    <row r="26" spans="1:14">
      <c r="A26" s="13">
        <v>19</v>
      </c>
      <c r="B26" s="14" t="s">
        <v>356</v>
      </c>
      <c r="C26" s="14" t="s">
        <v>64</v>
      </c>
      <c r="D26" s="14" t="s">
        <v>81</v>
      </c>
      <c r="E26" s="14" t="s">
        <v>239</v>
      </c>
      <c r="F26" s="14" t="s">
        <v>240</v>
      </c>
      <c r="G26" s="14">
        <v>9</v>
      </c>
      <c r="H26" s="14" t="s">
        <v>65</v>
      </c>
      <c r="I26" s="14" t="s">
        <v>357</v>
      </c>
      <c r="J26" s="14" t="s">
        <v>358</v>
      </c>
      <c r="K26" s="14">
        <v>1</v>
      </c>
      <c r="L26" s="15" t="s">
        <v>243</v>
      </c>
      <c r="M26" t="s">
        <v>87</v>
      </c>
      <c r="N26" t="s">
        <v>244</v>
      </c>
    </row>
    <row r="27" spans="1:14">
      <c r="A27" s="13">
        <v>20</v>
      </c>
      <c r="B27" s="14" t="s">
        <v>359</v>
      </c>
      <c r="C27" s="14" t="s">
        <v>64</v>
      </c>
      <c r="D27" s="14" t="s">
        <v>81</v>
      </c>
      <c r="E27" s="14" t="s">
        <v>239</v>
      </c>
      <c r="F27" s="14" t="s">
        <v>240</v>
      </c>
      <c r="G27" s="14">
        <v>10</v>
      </c>
      <c r="H27" s="14" t="s">
        <v>65</v>
      </c>
      <c r="I27" s="14" t="s">
        <v>360</v>
      </c>
      <c r="J27" s="14" t="s">
        <v>361</v>
      </c>
      <c r="K27" s="14">
        <v>1</v>
      </c>
      <c r="L27" s="15" t="s">
        <v>243</v>
      </c>
      <c r="M27" t="s">
        <v>87</v>
      </c>
      <c r="N27" t="s">
        <v>244</v>
      </c>
    </row>
    <row r="28" spans="1:14">
      <c r="A28" s="13">
        <v>21</v>
      </c>
      <c r="B28" s="14" t="s">
        <v>548</v>
      </c>
      <c r="C28" s="14" t="s">
        <v>64</v>
      </c>
      <c r="D28" s="14" t="s">
        <v>476</v>
      </c>
      <c r="E28" s="14" t="s">
        <v>477</v>
      </c>
      <c r="F28" s="14" t="s">
        <v>478</v>
      </c>
      <c r="G28" s="14">
        <v>1</v>
      </c>
      <c r="H28" s="14" t="s">
        <v>479</v>
      </c>
      <c r="I28" s="14" t="s">
        <v>549</v>
      </c>
      <c r="J28" s="14" t="s">
        <v>550</v>
      </c>
      <c r="K28" s="14">
        <v>2</v>
      </c>
      <c r="L28" s="15" t="s">
        <v>243</v>
      </c>
      <c r="M28" t="s">
        <v>482</v>
      </c>
      <c r="N28" t="s">
        <v>483</v>
      </c>
    </row>
    <row r="29" spans="1:14">
      <c r="A29" s="13">
        <v>22</v>
      </c>
      <c r="B29" s="14" t="s">
        <v>551</v>
      </c>
      <c r="C29" s="14" t="s">
        <v>64</v>
      </c>
      <c r="D29" s="14" t="s">
        <v>476</v>
      </c>
      <c r="E29" s="14" t="s">
        <v>477</v>
      </c>
      <c r="F29" s="14" t="s">
        <v>478</v>
      </c>
      <c r="G29" s="14">
        <v>2</v>
      </c>
      <c r="H29" s="14" t="s">
        <v>479</v>
      </c>
      <c r="I29" s="14" t="s">
        <v>549</v>
      </c>
      <c r="J29" s="14" t="s">
        <v>552</v>
      </c>
      <c r="K29" s="14">
        <v>2</v>
      </c>
      <c r="L29" s="15" t="s">
        <v>243</v>
      </c>
      <c r="M29" t="s">
        <v>482</v>
      </c>
      <c r="N29" t="s">
        <v>483</v>
      </c>
    </row>
    <row r="30" spans="1:14">
      <c r="A30" s="13">
        <v>23</v>
      </c>
      <c r="B30" s="14" t="s">
        <v>553</v>
      </c>
      <c r="C30" s="14" t="s">
        <v>64</v>
      </c>
      <c r="D30" s="14" t="s">
        <v>476</v>
      </c>
      <c r="E30" s="14" t="s">
        <v>477</v>
      </c>
      <c r="F30" s="14" t="s">
        <v>478</v>
      </c>
      <c r="G30" s="14">
        <v>3</v>
      </c>
      <c r="H30" s="14" t="s">
        <v>479</v>
      </c>
      <c r="I30" s="14" t="s">
        <v>549</v>
      </c>
      <c r="J30" s="14" t="s">
        <v>554</v>
      </c>
      <c r="K30" s="14">
        <v>2</v>
      </c>
      <c r="L30" s="15" t="s">
        <v>243</v>
      </c>
      <c r="M30" t="s">
        <v>482</v>
      </c>
      <c r="N30" t="s">
        <v>483</v>
      </c>
    </row>
    <row r="31" spans="1:14">
      <c r="A31" s="13">
        <v>24</v>
      </c>
      <c r="B31" s="14" t="s">
        <v>555</v>
      </c>
      <c r="C31" s="14" t="s">
        <v>64</v>
      </c>
      <c r="D31" s="14" t="s">
        <v>476</v>
      </c>
      <c r="E31" s="14" t="s">
        <v>477</v>
      </c>
      <c r="F31" s="14" t="s">
        <v>478</v>
      </c>
      <c r="G31" s="14">
        <v>4</v>
      </c>
      <c r="H31" s="14" t="s">
        <v>479</v>
      </c>
      <c r="I31" s="14" t="s">
        <v>549</v>
      </c>
      <c r="J31" s="14" t="s">
        <v>556</v>
      </c>
      <c r="K31" s="14">
        <v>2</v>
      </c>
      <c r="L31" s="15" t="s">
        <v>243</v>
      </c>
      <c r="M31" t="s">
        <v>482</v>
      </c>
      <c r="N31" t="s">
        <v>483</v>
      </c>
    </row>
    <row r="32" spans="1:14">
      <c r="A32" s="13">
        <v>25</v>
      </c>
      <c r="B32" s="14" t="s">
        <v>557</v>
      </c>
      <c r="C32" s="14" t="s">
        <v>64</v>
      </c>
      <c r="D32" s="14" t="s">
        <v>476</v>
      </c>
      <c r="E32" s="14" t="s">
        <v>477</v>
      </c>
      <c r="F32" s="14" t="s">
        <v>478</v>
      </c>
      <c r="G32" s="14">
        <v>5</v>
      </c>
      <c r="H32" s="14" t="s">
        <v>479</v>
      </c>
      <c r="I32" s="14" t="s">
        <v>549</v>
      </c>
      <c r="J32" s="14" t="s">
        <v>558</v>
      </c>
      <c r="K32" s="14">
        <v>2</v>
      </c>
      <c r="L32" s="15" t="s">
        <v>243</v>
      </c>
      <c r="M32" t="s">
        <v>482</v>
      </c>
      <c r="N32" t="s">
        <v>483</v>
      </c>
    </row>
    <row r="33" spans="1:14">
      <c r="A33" s="13">
        <v>26</v>
      </c>
      <c r="B33" s="14" t="s">
        <v>559</v>
      </c>
      <c r="C33" s="14" t="s">
        <v>64</v>
      </c>
      <c r="D33" s="14" t="s">
        <v>476</v>
      </c>
      <c r="E33" s="14" t="s">
        <v>477</v>
      </c>
      <c r="F33" s="14" t="s">
        <v>478</v>
      </c>
      <c r="G33" s="14">
        <v>6</v>
      </c>
      <c r="H33" s="14" t="s">
        <v>479</v>
      </c>
      <c r="I33" s="14" t="s">
        <v>560</v>
      </c>
      <c r="J33" s="14" t="s">
        <v>561</v>
      </c>
      <c r="K33" s="14">
        <v>2</v>
      </c>
      <c r="L33" s="15" t="s">
        <v>243</v>
      </c>
      <c r="M33" t="s">
        <v>482</v>
      </c>
      <c r="N33" t="s">
        <v>495</v>
      </c>
    </row>
    <row r="34" spans="1:14">
      <c r="A34" s="13">
        <v>27</v>
      </c>
      <c r="B34" s="14" t="s">
        <v>562</v>
      </c>
      <c r="C34" s="14" t="s">
        <v>64</v>
      </c>
      <c r="D34" s="14" t="s">
        <v>476</v>
      </c>
      <c r="E34" s="14" t="s">
        <v>477</v>
      </c>
      <c r="F34" s="14" t="s">
        <v>478</v>
      </c>
      <c r="G34" s="14">
        <v>7</v>
      </c>
      <c r="H34" s="14" t="s">
        <v>479</v>
      </c>
      <c r="I34" s="14" t="s">
        <v>560</v>
      </c>
      <c r="J34" s="14" t="s">
        <v>563</v>
      </c>
      <c r="K34" s="14">
        <v>2</v>
      </c>
      <c r="L34" s="15" t="s">
        <v>243</v>
      </c>
      <c r="M34" t="s">
        <v>482</v>
      </c>
      <c r="N34" t="s">
        <v>495</v>
      </c>
    </row>
    <row r="35" spans="1:14">
      <c r="A35" s="13">
        <v>28</v>
      </c>
      <c r="B35" s="14" t="s">
        <v>564</v>
      </c>
      <c r="C35" s="14" t="s">
        <v>64</v>
      </c>
      <c r="D35" s="14" t="s">
        <v>476</v>
      </c>
      <c r="E35" s="14" t="s">
        <v>477</v>
      </c>
      <c r="F35" s="14" t="s">
        <v>478</v>
      </c>
      <c r="G35" s="14">
        <v>8</v>
      </c>
      <c r="H35" s="14" t="s">
        <v>479</v>
      </c>
      <c r="I35" s="14" t="s">
        <v>560</v>
      </c>
      <c r="J35" s="14" t="s">
        <v>565</v>
      </c>
      <c r="K35" s="14">
        <v>2</v>
      </c>
      <c r="L35" s="15" t="s">
        <v>243</v>
      </c>
      <c r="M35" t="s">
        <v>482</v>
      </c>
      <c r="N35" t="s">
        <v>495</v>
      </c>
    </row>
    <row r="36" spans="1:14">
      <c r="A36" s="13">
        <v>29</v>
      </c>
      <c r="B36" s="14" t="s">
        <v>566</v>
      </c>
      <c r="C36" s="14" t="s">
        <v>64</v>
      </c>
      <c r="D36" s="14" t="s">
        <v>476</v>
      </c>
      <c r="E36" s="14" t="s">
        <v>477</v>
      </c>
      <c r="F36" s="14" t="s">
        <v>478</v>
      </c>
      <c r="G36" s="14">
        <v>9</v>
      </c>
      <c r="H36" s="14" t="s">
        <v>479</v>
      </c>
      <c r="I36" s="14" t="s">
        <v>560</v>
      </c>
      <c r="J36" s="14" t="s">
        <v>567</v>
      </c>
      <c r="K36" s="14">
        <v>2</v>
      </c>
      <c r="L36" s="15" t="s">
        <v>243</v>
      </c>
      <c r="M36" t="s">
        <v>482</v>
      </c>
      <c r="N36" t="s">
        <v>495</v>
      </c>
    </row>
    <row r="37" spans="1:14">
      <c r="A37" s="13">
        <v>30</v>
      </c>
      <c r="B37" s="14" t="s">
        <v>568</v>
      </c>
      <c r="C37" s="14" t="s">
        <v>64</v>
      </c>
      <c r="D37" s="14" t="s">
        <v>476</v>
      </c>
      <c r="E37" s="14" t="s">
        <v>477</v>
      </c>
      <c r="F37" s="14" t="s">
        <v>478</v>
      </c>
      <c r="G37" s="14">
        <v>10</v>
      </c>
      <c r="H37" s="14" t="s">
        <v>479</v>
      </c>
      <c r="I37" s="14" t="s">
        <v>560</v>
      </c>
      <c r="J37" s="14" t="s">
        <v>569</v>
      </c>
      <c r="K37" s="14">
        <v>2</v>
      </c>
      <c r="L37" s="15" t="s">
        <v>243</v>
      </c>
      <c r="M37" t="s">
        <v>482</v>
      </c>
      <c r="N37" t="s">
        <v>495</v>
      </c>
    </row>
    <row r="38" spans="1:14">
      <c r="A38" s="13">
        <v>31</v>
      </c>
      <c r="B38" s="14" t="s">
        <v>445</v>
      </c>
      <c r="C38" s="14" t="s">
        <v>64</v>
      </c>
      <c r="D38" s="14" t="s">
        <v>81</v>
      </c>
      <c r="E38" s="14" t="s">
        <v>393</v>
      </c>
      <c r="F38" s="14" t="s">
        <v>394</v>
      </c>
      <c r="G38" s="14">
        <v>1</v>
      </c>
      <c r="H38" s="14" t="s">
        <v>395</v>
      </c>
      <c r="I38" s="14" t="s">
        <v>396</v>
      </c>
      <c r="J38" s="14" t="s">
        <v>446</v>
      </c>
      <c r="K38" s="14">
        <v>5</v>
      </c>
      <c r="L38" s="15" t="s">
        <v>243</v>
      </c>
      <c r="M38" t="s">
        <v>398</v>
      </c>
      <c r="N38" t="s">
        <v>399</v>
      </c>
    </row>
    <row r="39" spans="1:14">
      <c r="A39" s="13">
        <v>32</v>
      </c>
      <c r="B39" s="14" t="s">
        <v>453</v>
      </c>
      <c r="C39" s="14" t="s">
        <v>64</v>
      </c>
      <c r="D39" s="14" t="s">
        <v>81</v>
      </c>
      <c r="E39" s="14" t="s">
        <v>393</v>
      </c>
      <c r="F39" s="14" t="s">
        <v>407</v>
      </c>
      <c r="G39" s="14">
        <v>1</v>
      </c>
      <c r="H39" s="14" t="s">
        <v>408</v>
      </c>
      <c r="I39" s="14" t="s">
        <v>409</v>
      </c>
      <c r="J39" s="14" t="s">
        <v>454</v>
      </c>
      <c r="K39" s="14">
        <v>5</v>
      </c>
      <c r="L39" s="15" t="s">
        <v>243</v>
      </c>
      <c r="M39" t="s">
        <v>411</v>
      </c>
      <c r="N39" t="s">
        <v>412</v>
      </c>
    </row>
    <row r="40" spans="1:14">
      <c r="A40" s="13">
        <v>33</v>
      </c>
      <c r="B40" s="14" t="s">
        <v>447</v>
      </c>
      <c r="C40" s="14" t="s">
        <v>64</v>
      </c>
      <c r="D40" s="14" t="s">
        <v>81</v>
      </c>
      <c r="E40" s="14" t="s">
        <v>393</v>
      </c>
      <c r="F40" s="14" t="s">
        <v>394</v>
      </c>
      <c r="G40" s="14">
        <v>2</v>
      </c>
      <c r="H40" s="14" t="s">
        <v>395</v>
      </c>
      <c r="I40" s="14" t="s">
        <v>396</v>
      </c>
      <c r="J40" s="14" t="s">
        <v>448</v>
      </c>
      <c r="K40" s="14">
        <v>5</v>
      </c>
      <c r="L40" s="15" t="s">
        <v>243</v>
      </c>
      <c r="M40" t="s">
        <v>398</v>
      </c>
      <c r="N40" t="s">
        <v>399</v>
      </c>
    </row>
    <row r="41" spans="1:14">
      <c r="A41" s="13">
        <v>34</v>
      </c>
      <c r="B41" s="14" t="s">
        <v>455</v>
      </c>
      <c r="C41" s="14" t="s">
        <v>64</v>
      </c>
      <c r="D41" s="14" t="s">
        <v>81</v>
      </c>
      <c r="E41" s="14" t="s">
        <v>393</v>
      </c>
      <c r="F41" s="14" t="s">
        <v>407</v>
      </c>
      <c r="G41" s="14">
        <v>2</v>
      </c>
      <c r="H41" s="14" t="s">
        <v>408</v>
      </c>
      <c r="I41" s="14" t="s">
        <v>409</v>
      </c>
      <c r="J41" s="14" t="s">
        <v>456</v>
      </c>
      <c r="K41" s="14">
        <v>5</v>
      </c>
      <c r="L41" s="15" t="s">
        <v>243</v>
      </c>
      <c r="M41" t="s">
        <v>411</v>
      </c>
      <c r="N41" t="s">
        <v>412</v>
      </c>
    </row>
    <row r="42" spans="1:14">
      <c r="A42" s="13">
        <v>35</v>
      </c>
      <c r="B42" s="14" t="s">
        <v>449</v>
      </c>
      <c r="C42" s="14" t="s">
        <v>64</v>
      </c>
      <c r="D42" s="14" t="s">
        <v>81</v>
      </c>
      <c r="E42" s="14" t="s">
        <v>393</v>
      </c>
      <c r="F42" s="14" t="s">
        <v>394</v>
      </c>
      <c r="G42" s="14">
        <v>3</v>
      </c>
      <c r="H42" s="14" t="s">
        <v>395</v>
      </c>
      <c r="I42" s="14" t="s">
        <v>396</v>
      </c>
      <c r="J42" s="14" t="s">
        <v>450</v>
      </c>
      <c r="K42" s="14">
        <v>5</v>
      </c>
      <c r="L42" s="15" t="s">
        <v>243</v>
      </c>
      <c r="M42" t="s">
        <v>398</v>
      </c>
      <c r="N42" t="s">
        <v>399</v>
      </c>
    </row>
    <row r="43" spans="1:14">
      <c r="A43" s="13">
        <v>36</v>
      </c>
      <c r="B43" s="14" t="s">
        <v>457</v>
      </c>
      <c r="C43" s="14" t="s">
        <v>64</v>
      </c>
      <c r="D43" s="14" t="s">
        <v>81</v>
      </c>
      <c r="E43" s="14" t="s">
        <v>393</v>
      </c>
      <c r="F43" s="14" t="s">
        <v>407</v>
      </c>
      <c r="G43" s="14">
        <v>3</v>
      </c>
      <c r="H43" s="14" t="s">
        <v>408</v>
      </c>
      <c r="I43" s="14" t="s">
        <v>409</v>
      </c>
      <c r="J43" s="14" t="s">
        <v>458</v>
      </c>
      <c r="K43" s="14">
        <v>5</v>
      </c>
      <c r="L43" s="15" t="s">
        <v>243</v>
      </c>
      <c r="M43" t="s">
        <v>411</v>
      </c>
      <c r="N43" t="s">
        <v>412</v>
      </c>
    </row>
    <row r="44" spans="1:14">
      <c r="A44" s="13">
        <v>37</v>
      </c>
      <c r="B44" s="14" t="s">
        <v>451</v>
      </c>
      <c r="C44" s="14" t="s">
        <v>64</v>
      </c>
      <c r="D44" s="14" t="s">
        <v>81</v>
      </c>
      <c r="E44" s="14" t="s">
        <v>393</v>
      </c>
      <c r="F44" s="14" t="s">
        <v>394</v>
      </c>
      <c r="G44" s="14">
        <v>4</v>
      </c>
      <c r="H44" s="14" t="s">
        <v>395</v>
      </c>
      <c r="I44" s="14" t="s">
        <v>396</v>
      </c>
      <c r="J44" s="14" t="s">
        <v>452</v>
      </c>
      <c r="K44" s="14">
        <v>5</v>
      </c>
      <c r="L44" s="15" t="s">
        <v>243</v>
      </c>
      <c r="M44" t="s">
        <v>398</v>
      </c>
      <c r="N44" t="s">
        <v>399</v>
      </c>
    </row>
    <row r="45" spans="1:14">
      <c r="A45" s="21">
        <v>38</v>
      </c>
      <c r="B45" s="22" t="s">
        <v>606</v>
      </c>
      <c r="C45" s="22" t="s">
        <v>64</v>
      </c>
      <c r="D45" s="22" t="s">
        <v>476</v>
      </c>
      <c r="E45" s="22" t="s">
        <v>593</v>
      </c>
      <c r="F45" s="22" t="s">
        <v>594</v>
      </c>
      <c r="G45" s="22">
        <v>1</v>
      </c>
      <c r="H45" s="22" t="s">
        <v>595</v>
      </c>
      <c r="I45" s="22" t="s">
        <v>607</v>
      </c>
      <c r="J45" s="22" t="s">
        <v>608</v>
      </c>
      <c r="K45" s="22">
        <v>25</v>
      </c>
      <c r="L45" s="23" t="s">
        <v>243</v>
      </c>
      <c r="M45" t="s">
        <v>598</v>
      </c>
      <c r="N45" t="s">
        <v>599</v>
      </c>
    </row>
  </sheetData>
  <mergeCells count="3">
    <mergeCell ref="A1:L1"/>
    <mergeCell ref="N1:Q1"/>
    <mergeCell ref="A2:L2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5"/>
  <sheetViews>
    <sheetView tabSelected="1" topLeftCell="G7" workbookViewId="0">
      <selection activeCell="A7" sqref="$A7:$XFD7"/>
    </sheetView>
  </sheetViews>
  <sheetFormatPr defaultColWidth="9" defaultRowHeight="14.1"/>
  <cols>
    <col min="1" max="1" width="6" customWidth="1"/>
    <col min="2" max="2" width="16" customWidth="1"/>
    <col min="3" max="3" width="10" customWidth="1"/>
    <col min="4" max="4" width="8" customWidth="1"/>
    <col min="5" max="5" width="18" customWidth="1"/>
    <col min="6" max="6" width="24" customWidth="1"/>
    <col min="7" max="7" width="22" customWidth="1"/>
    <col min="8" max="8" width="80" customWidth="1"/>
    <col min="9" max="10" width="8" customWidth="1"/>
    <col min="11" max="11" width="16" customWidth="1"/>
    <col min="12" max="12" width="20" customWidth="1"/>
    <col min="14" max="15" width="16" customWidth="1"/>
  </cols>
  <sheetData>
    <row r="1" ht="17.55" spans="1:17">
      <c r="A1" s="1" t="s">
        <v>656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N1" s="2" t="s">
        <v>643</v>
      </c>
      <c r="O1" s="2"/>
      <c r="P1" s="2"/>
      <c r="Q1" s="2"/>
    </row>
    <row r="2" ht="14.15" spans="1:17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N2" s="4" t="s">
        <v>644</v>
      </c>
      <c r="O2" s="5">
        <v>100</v>
      </c>
    </row>
    <row r="3" ht="14.15" spans="1:17">
      <c r="N3" s="6" t="s">
        <v>645</v>
      </c>
      <c r="O3" s="7">
        <f>SUM(I8:I45)</f>
        <v>0</v>
      </c>
    </row>
    <row r="4" ht="14.15" spans="1:17">
      <c r="N4" s="6" t="s">
        <v>646</v>
      </c>
      <c r="O4" s="7">
        <f>SUMIF(D8:D45,"Part I",I8:I45)</f>
        <v>0</v>
      </c>
    </row>
    <row r="5" ht="14.15" spans="1:17">
      <c r="N5" s="6" t="s">
        <v>647</v>
      </c>
      <c r="O5" s="7">
        <f>SUMIF(D8:D45,"Part II",I8:I45)</f>
        <v>0</v>
      </c>
    </row>
    <row r="6" ht="14.15" spans="1:17">
      <c r="N6" s="6" t="s">
        <v>648</v>
      </c>
      <c r="O6" s="7">
        <f>SUMIF(D8:D45,"Part III",I8:I45)</f>
        <v>0</v>
      </c>
    </row>
    <row r="7" ht="15" customHeight="1" spans="1:17">
      <c r="A7" s="8" t="s">
        <v>649</v>
      </c>
      <c r="B7" s="9" t="s">
        <v>70</v>
      </c>
      <c r="C7" s="10" t="s">
        <v>650</v>
      </c>
      <c r="D7" s="9" t="s">
        <v>71</v>
      </c>
      <c r="E7" s="9" t="s">
        <v>72</v>
      </c>
      <c r="F7" s="10" t="s">
        <v>73</v>
      </c>
      <c r="G7" s="10" t="s">
        <v>651</v>
      </c>
      <c r="H7" t="s">
        <v>75</v>
      </c>
      <c r="I7" s="9" t="s">
        <v>76</v>
      </c>
      <c r="J7" s="11" t="s">
        <v>652</v>
      </c>
      <c r="K7" s="11" t="s">
        <v>78</v>
      </c>
      <c r="L7" s="11" t="s">
        <v>79</v>
      </c>
      <c r="M7" s="9" t="s">
        <v>53</v>
      </c>
      <c r="N7" s="12" t="s">
        <v>21</v>
      </c>
      <c r="O7" s="7">
        <f>SUMIF(D8:D45,"Part IV",I8:I45)</f>
        <v>0</v>
      </c>
    </row>
    <row r="8" ht="15" customHeight="1" spans="1:17">
      <c r="A8" s="13">
        <v>1</v>
      </c>
      <c r="B8" s="14" t="s">
        <v>208</v>
      </c>
      <c r="C8" s="14" t="s">
        <v>66</v>
      </c>
      <c r="D8" s="14" t="s">
        <v>81</v>
      </c>
      <c r="E8" s="14" t="s">
        <v>82</v>
      </c>
      <c r="F8" s="14" t="s">
        <v>83</v>
      </c>
      <c r="G8" s="14">
        <v>1</v>
      </c>
      <c r="H8" s="14" t="s">
        <v>28</v>
      </c>
      <c r="I8" s="14" t="s">
        <v>209</v>
      </c>
      <c r="J8" s="14" t="s">
        <v>210</v>
      </c>
      <c r="K8" s="14">
        <v>1</v>
      </c>
      <c r="L8" s="15" t="s">
        <v>86</v>
      </c>
      <c r="M8" t="s">
        <v>87</v>
      </c>
      <c r="N8" s="6" t="s">
        <v>88</v>
      </c>
      <c r="O8" s="7">
        <f>SUMIF(D8:D45,"Part V",I8:I45)</f>
        <v>0</v>
      </c>
    </row>
    <row r="9" ht="15" customHeight="1" spans="1:17">
      <c r="A9" s="13">
        <v>2</v>
      </c>
      <c r="B9" s="14" t="s">
        <v>211</v>
      </c>
      <c r="C9" s="14" t="s">
        <v>66</v>
      </c>
      <c r="D9" s="14" t="s">
        <v>81</v>
      </c>
      <c r="E9" s="14" t="s">
        <v>82</v>
      </c>
      <c r="F9" s="14" t="s">
        <v>83</v>
      </c>
      <c r="G9" s="14">
        <v>2</v>
      </c>
      <c r="H9" s="14" t="s">
        <v>28</v>
      </c>
      <c r="I9" s="14" t="s">
        <v>212</v>
      </c>
      <c r="J9" s="14" t="s">
        <v>213</v>
      </c>
      <c r="K9" s="14">
        <v>1</v>
      </c>
      <c r="L9" s="15" t="s">
        <v>86</v>
      </c>
      <c r="M9" t="s">
        <v>87</v>
      </c>
      <c r="N9" s="6" t="s">
        <v>88</v>
      </c>
      <c r="O9" s="7">
        <v>90</v>
      </c>
    </row>
    <row r="10" ht="15" customHeight="1" spans="1:17">
      <c r="A10" s="16">
        <v>3</v>
      </c>
      <c r="B10" s="17" t="s">
        <v>214</v>
      </c>
      <c r="C10" s="17" t="s">
        <v>66</v>
      </c>
      <c r="D10" s="17" t="s">
        <v>81</v>
      </c>
      <c r="E10" s="17" t="s">
        <v>82</v>
      </c>
      <c r="F10" s="17" t="s">
        <v>83</v>
      </c>
      <c r="G10" s="17">
        <v>3</v>
      </c>
      <c r="H10" s="17" t="s">
        <v>90</v>
      </c>
      <c r="I10" s="17" t="s">
        <v>215</v>
      </c>
      <c r="J10" s="17" t="s">
        <v>216</v>
      </c>
      <c r="K10" s="17">
        <v>1</v>
      </c>
      <c r="L10" s="18" t="s">
        <v>86</v>
      </c>
      <c r="M10" t="s">
        <v>93</v>
      </c>
      <c r="N10" s="19" t="s">
        <v>88</v>
      </c>
      <c r="O10" s="20">
        <v>120</v>
      </c>
    </row>
    <row r="11" ht="15" customHeight="1" spans="1:17">
      <c r="A11" s="16">
        <v>4</v>
      </c>
      <c r="B11" s="17" t="s">
        <v>217</v>
      </c>
      <c r="C11" s="17" t="s">
        <v>66</v>
      </c>
      <c r="D11" s="17" t="s">
        <v>81</v>
      </c>
      <c r="E11" s="17" t="s">
        <v>82</v>
      </c>
      <c r="F11" s="17" t="s">
        <v>83</v>
      </c>
      <c r="G11" s="17">
        <v>4</v>
      </c>
      <c r="H11" s="17" t="s">
        <v>90</v>
      </c>
      <c r="I11" s="17" t="s">
        <v>218</v>
      </c>
      <c r="J11" s="17" t="s">
        <v>219</v>
      </c>
      <c r="K11" s="17">
        <v>1</v>
      </c>
      <c r="L11" s="18" t="s">
        <v>86</v>
      </c>
      <c r="M11" t="s">
        <v>93</v>
      </c>
      <c r="N11" t="s">
        <v>88</v>
      </c>
    </row>
    <row r="12" ht="15" customHeight="1" spans="1:17">
      <c r="A12" s="13">
        <v>5</v>
      </c>
      <c r="B12" s="14" t="s">
        <v>220</v>
      </c>
      <c r="C12" s="14" t="s">
        <v>66</v>
      </c>
      <c r="D12" s="14" t="s">
        <v>81</v>
      </c>
      <c r="E12" s="14" t="s">
        <v>82</v>
      </c>
      <c r="F12" s="14" t="s">
        <v>83</v>
      </c>
      <c r="G12" s="14">
        <v>5</v>
      </c>
      <c r="H12" s="14" t="s">
        <v>22</v>
      </c>
      <c r="I12" s="14" t="s">
        <v>221</v>
      </c>
      <c r="J12" s="14" t="s">
        <v>222</v>
      </c>
      <c r="K12" s="14">
        <v>1</v>
      </c>
      <c r="L12" s="15" t="s">
        <v>86</v>
      </c>
      <c r="M12" t="s">
        <v>87</v>
      </c>
      <c r="N12" t="s">
        <v>88</v>
      </c>
    </row>
    <row r="13" ht="15" customHeight="1" spans="1:17">
      <c r="A13" s="16">
        <v>6</v>
      </c>
      <c r="B13" s="17" t="s">
        <v>223</v>
      </c>
      <c r="C13" s="17" t="s">
        <v>66</v>
      </c>
      <c r="D13" s="17" t="s">
        <v>81</v>
      </c>
      <c r="E13" s="17" t="s">
        <v>82</v>
      </c>
      <c r="F13" s="17" t="s">
        <v>83</v>
      </c>
      <c r="G13" s="17">
        <v>6</v>
      </c>
      <c r="H13" s="17" t="s">
        <v>90</v>
      </c>
      <c r="I13" s="17" t="s">
        <v>224</v>
      </c>
      <c r="J13" s="17" t="s">
        <v>225</v>
      </c>
      <c r="K13" s="17">
        <v>1</v>
      </c>
      <c r="L13" s="18" t="s">
        <v>86</v>
      </c>
      <c r="M13" t="s">
        <v>93</v>
      </c>
      <c r="N13" t="s">
        <v>88</v>
      </c>
    </row>
    <row r="14" ht="15" customHeight="1" spans="1:17">
      <c r="A14" s="16">
        <v>7</v>
      </c>
      <c r="B14" s="17" t="s">
        <v>226</v>
      </c>
      <c r="C14" s="17" t="s">
        <v>66</v>
      </c>
      <c r="D14" s="17" t="s">
        <v>81</v>
      </c>
      <c r="E14" s="17" t="s">
        <v>82</v>
      </c>
      <c r="F14" s="17" t="s">
        <v>83</v>
      </c>
      <c r="G14" s="17">
        <v>7</v>
      </c>
      <c r="H14" s="17" t="s">
        <v>90</v>
      </c>
      <c r="I14" s="17" t="s">
        <v>227</v>
      </c>
      <c r="J14" s="17" t="s">
        <v>228</v>
      </c>
      <c r="K14" s="17">
        <v>1</v>
      </c>
      <c r="L14" s="18" t="s">
        <v>86</v>
      </c>
      <c r="M14" t="s">
        <v>93</v>
      </c>
      <c r="N14" t="s">
        <v>88</v>
      </c>
    </row>
    <row r="15" ht="15" customHeight="1" spans="1:17">
      <c r="A15" s="13">
        <v>8</v>
      </c>
      <c r="B15" s="14" t="s">
        <v>229</v>
      </c>
      <c r="C15" s="14" t="s">
        <v>66</v>
      </c>
      <c r="D15" s="14" t="s">
        <v>81</v>
      </c>
      <c r="E15" s="14" t="s">
        <v>82</v>
      </c>
      <c r="F15" s="14" t="s">
        <v>83</v>
      </c>
      <c r="G15" s="14">
        <v>8</v>
      </c>
      <c r="H15" s="14" t="s">
        <v>38</v>
      </c>
      <c r="I15" s="14" t="s">
        <v>230</v>
      </c>
      <c r="J15" s="14" t="s">
        <v>231</v>
      </c>
      <c r="K15" s="14">
        <v>1</v>
      </c>
      <c r="L15" s="15" t="s">
        <v>86</v>
      </c>
      <c r="M15" t="s">
        <v>87</v>
      </c>
      <c r="N15" t="s">
        <v>88</v>
      </c>
    </row>
    <row r="16" ht="15" customHeight="1" spans="1:17">
      <c r="A16" s="16">
        <v>9</v>
      </c>
      <c r="B16" s="17" t="s">
        <v>232</v>
      </c>
      <c r="C16" s="17" t="s">
        <v>66</v>
      </c>
      <c r="D16" s="17" t="s">
        <v>81</v>
      </c>
      <c r="E16" s="17" t="s">
        <v>82</v>
      </c>
      <c r="F16" s="17" t="s">
        <v>83</v>
      </c>
      <c r="G16" s="17">
        <v>9</v>
      </c>
      <c r="H16" s="17" t="s">
        <v>90</v>
      </c>
      <c r="I16" s="17" t="s">
        <v>233</v>
      </c>
      <c r="J16" s="17" t="s">
        <v>234</v>
      </c>
      <c r="K16" s="17">
        <v>1</v>
      </c>
      <c r="L16" s="18" t="s">
        <v>86</v>
      </c>
      <c r="M16" t="s">
        <v>93</v>
      </c>
      <c r="N16" t="s">
        <v>88</v>
      </c>
    </row>
    <row r="17" ht="15" customHeight="1" spans="1:14">
      <c r="A17" s="13">
        <v>10</v>
      </c>
      <c r="B17" s="14" t="s">
        <v>235</v>
      </c>
      <c r="C17" s="14" t="s">
        <v>66</v>
      </c>
      <c r="D17" s="14" t="s">
        <v>81</v>
      </c>
      <c r="E17" s="14" t="s">
        <v>82</v>
      </c>
      <c r="F17" s="14" t="s">
        <v>83</v>
      </c>
      <c r="G17" s="14">
        <v>10</v>
      </c>
      <c r="H17" s="14" t="s">
        <v>28</v>
      </c>
      <c r="I17" s="14" t="s">
        <v>236</v>
      </c>
      <c r="J17" s="14" t="s">
        <v>237</v>
      </c>
      <c r="K17" s="14">
        <v>1</v>
      </c>
      <c r="L17" s="15" t="s">
        <v>86</v>
      </c>
      <c r="M17" t="s">
        <v>87</v>
      </c>
      <c r="N17" t="s">
        <v>88</v>
      </c>
    </row>
    <row r="18" ht="15" customHeight="1" spans="1:14">
      <c r="A18" s="13">
        <v>11</v>
      </c>
      <c r="B18" s="14" t="s">
        <v>362</v>
      </c>
      <c r="C18" s="14" t="s">
        <v>66</v>
      </c>
      <c r="D18" s="14" t="s">
        <v>81</v>
      </c>
      <c r="E18" s="14" t="s">
        <v>239</v>
      </c>
      <c r="F18" s="14" t="s">
        <v>240</v>
      </c>
      <c r="G18" s="14">
        <v>1</v>
      </c>
      <c r="H18" s="14" t="s">
        <v>67</v>
      </c>
      <c r="I18" s="14" t="s">
        <v>363</v>
      </c>
      <c r="J18" s="14" t="s">
        <v>364</v>
      </c>
      <c r="K18" s="14">
        <v>1</v>
      </c>
      <c r="L18" s="15" t="s">
        <v>243</v>
      </c>
      <c r="M18" t="s">
        <v>87</v>
      </c>
      <c r="N18" t="s">
        <v>244</v>
      </c>
    </row>
    <row r="19" ht="15" customHeight="1" spans="1:14">
      <c r="A19" s="13">
        <v>12</v>
      </c>
      <c r="B19" s="14" t="s">
        <v>365</v>
      </c>
      <c r="C19" s="14" t="s">
        <v>66</v>
      </c>
      <c r="D19" s="14" t="s">
        <v>81</v>
      </c>
      <c r="E19" s="14" t="s">
        <v>239</v>
      </c>
      <c r="F19" s="14" t="s">
        <v>240</v>
      </c>
      <c r="G19" s="14">
        <v>2</v>
      </c>
      <c r="H19" s="14" t="s">
        <v>67</v>
      </c>
      <c r="I19" s="14" t="s">
        <v>366</v>
      </c>
      <c r="J19" s="14" t="s">
        <v>367</v>
      </c>
      <c r="K19" s="14">
        <v>1</v>
      </c>
      <c r="L19" s="15" t="s">
        <v>243</v>
      </c>
      <c r="M19" t="s">
        <v>87</v>
      </c>
      <c r="N19" t="s">
        <v>244</v>
      </c>
    </row>
    <row r="20" ht="15" customHeight="1" spans="1:14">
      <c r="A20" s="13">
        <v>13</v>
      </c>
      <c r="B20" s="14" t="s">
        <v>368</v>
      </c>
      <c r="C20" s="14" t="s">
        <v>66</v>
      </c>
      <c r="D20" s="14" t="s">
        <v>81</v>
      </c>
      <c r="E20" s="14" t="s">
        <v>239</v>
      </c>
      <c r="F20" s="14" t="s">
        <v>240</v>
      </c>
      <c r="G20" s="14">
        <v>3</v>
      </c>
      <c r="H20" s="14" t="s">
        <v>67</v>
      </c>
      <c r="I20" s="14" t="s">
        <v>369</v>
      </c>
      <c r="J20" s="14" t="s">
        <v>370</v>
      </c>
      <c r="K20" s="14">
        <v>1</v>
      </c>
      <c r="L20" s="15" t="s">
        <v>243</v>
      </c>
      <c r="M20" t="s">
        <v>87</v>
      </c>
      <c r="N20" t="s">
        <v>244</v>
      </c>
    </row>
    <row r="21" ht="15" customHeight="1" spans="1:14">
      <c r="A21" s="13">
        <v>14</v>
      </c>
      <c r="B21" s="14" t="s">
        <v>371</v>
      </c>
      <c r="C21" s="14" t="s">
        <v>66</v>
      </c>
      <c r="D21" s="14" t="s">
        <v>81</v>
      </c>
      <c r="E21" s="14" t="s">
        <v>239</v>
      </c>
      <c r="F21" s="14" t="s">
        <v>240</v>
      </c>
      <c r="G21" s="14">
        <v>4</v>
      </c>
      <c r="H21" s="14" t="s">
        <v>67</v>
      </c>
      <c r="I21" s="14" t="s">
        <v>372</v>
      </c>
      <c r="J21" s="14" t="s">
        <v>373</v>
      </c>
      <c r="K21" s="14">
        <v>1</v>
      </c>
      <c r="L21" s="15" t="s">
        <v>243</v>
      </c>
      <c r="M21" t="s">
        <v>87</v>
      </c>
      <c r="N21" t="s">
        <v>244</v>
      </c>
    </row>
    <row r="22" ht="15" customHeight="1" spans="1:14">
      <c r="A22" s="13">
        <v>15</v>
      </c>
      <c r="B22" s="14" t="s">
        <v>374</v>
      </c>
      <c r="C22" s="14" t="s">
        <v>66</v>
      </c>
      <c r="D22" s="14" t="s">
        <v>81</v>
      </c>
      <c r="E22" s="14" t="s">
        <v>239</v>
      </c>
      <c r="F22" s="14" t="s">
        <v>240</v>
      </c>
      <c r="G22" s="14">
        <v>5</v>
      </c>
      <c r="H22" s="14" t="s">
        <v>67</v>
      </c>
      <c r="I22" s="14" t="s">
        <v>375</v>
      </c>
      <c r="J22" s="14" t="s">
        <v>376</v>
      </c>
      <c r="K22" s="14">
        <v>1</v>
      </c>
      <c r="L22" s="15" t="s">
        <v>243</v>
      </c>
      <c r="M22" t="s">
        <v>87</v>
      </c>
      <c r="N22" t="s">
        <v>244</v>
      </c>
    </row>
    <row r="23" spans="1:14">
      <c r="A23" s="13">
        <v>16</v>
      </c>
      <c r="B23" s="14" t="s">
        <v>377</v>
      </c>
      <c r="C23" s="14" t="s">
        <v>66</v>
      </c>
      <c r="D23" s="14" t="s">
        <v>81</v>
      </c>
      <c r="E23" s="14" t="s">
        <v>239</v>
      </c>
      <c r="F23" s="14" t="s">
        <v>240</v>
      </c>
      <c r="G23" s="14">
        <v>6</v>
      </c>
      <c r="H23" s="14" t="s">
        <v>67</v>
      </c>
      <c r="I23" s="14" t="s">
        <v>378</v>
      </c>
      <c r="J23" s="14" t="s">
        <v>379</v>
      </c>
      <c r="K23" s="14">
        <v>1</v>
      </c>
      <c r="L23" s="15" t="s">
        <v>243</v>
      </c>
      <c r="M23" t="s">
        <v>87</v>
      </c>
      <c r="N23" t="s">
        <v>244</v>
      </c>
    </row>
    <row r="24" spans="1:14">
      <c r="A24" s="13">
        <v>17</v>
      </c>
      <c r="B24" s="14" t="s">
        <v>380</v>
      </c>
      <c r="C24" s="14" t="s">
        <v>66</v>
      </c>
      <c r="D24" s="14" t="s">
        <v>81</v>
      </c>
      <c r="E24" s="14" t="s">
        <v>239</v>
      </c>
      <c r="F24" s="14" t="s">
        <v>240</v>
      </c>
      <c r="G24" s="14">
        <v>7</v>
      </c>
      <c r="H24" s="14" t="s">
        <v>67</v>
      </c>
      <c r="I24" s="14" t="s">
        <v>381</v>
      </c>
      <c r="J24" s="14" t="s">
        <v>382</v>
      </c>
      <c r="K24" s="14">
        <v>1</v>
      </c>
      <c r="L24" s="15" t="s">
        <v>243</v>
      </c>
      <c r="M24" t="s">
        <v>87</v>
      </c>
      <c r="N24" t="s">
        <v>244</v>
      </c>
    </row>
    <row r="25" spans="1:14">
      <c r="A25" s="13">
        <v>18</v>
      </c>
      <c r="B25" s="14" t="s">
        <v>383</v>
      </c>
      <c r="C25" s="14" t="s">
        <v>66</v>
      </c>
      <c r="D25" s="14" t="s">
        <v>81</v>
      </c>
      <c r="E25" s="14" t="s">
        <v>239</v>
      </c>
      <c r="F25" s="14" t="s">
        <v>240</v>
      </c>
      <c r="G25" s="14">
        <v>8</v>
      </c>
      <c r="H25" s="14" t="s">
        <v>67</v>
      </c>
      <c r="I25" s="14" t="s">
        <v>384</v>
      </c>
      <c r="J25" s="14" t="s">
        <v>385</v>
      </c>
      <c r="K25" s="14">
        <v>1</v>
      </c>
      <c r="L25" s="15" t="s">
        <v>243</v>
      </c>
      <c r="M25" t="s">
        <v>87</v>
      </c>
      <c r="N25" t="s">
        <v>244</v>
      </c>
    </row>
    <row r="26" spans="1:14">
      <c r="A26" s="13">
        <v>19</v>
      </c>
      <c r="B26" s="14" t="s">
        <v>386</v>
      </c>
      <c r="C26" s="14" t="s">
        <v>66</v>
      </c>
      <c r="D26" s="14" t="s">
        <v>81</v>
      </c>
      <c r="E26" s="14" t="s">
        <v>239</v>
      </c>
      <c r="F26" s="14" t="s">
        <v>240</v>
      </c>
      <c r="G26" s="14">
        <v>9</v>
      </c>
      <c r="H26" s="14" t="s">
        <v>67</v>
      </c>
      <c r="I26" s="14" t="s">
        <v>387</v>
      </c>
      <c r="J26" s="14" t="s">
        <v>388</v>
      </c>
      <c r="K26" s="14">
        <v>1</v>
      </c>
      <c r="L26" s="15" t="s">
        <v>243</v>
      </c>
      <c r="M26" t="s">
        <v>87</v>
      </c>
      <c r="N26" t="s">
        <v>244</v>
      </c>
    </row>
    <row r="27" spans="1:14">
      <c r="A27" s="13">
        <v>20</v>
      </c>
      <c r="B27" s="14" t="s">
        <v>389</v>
      </c>
      <c r="C27" s="14" t="s">
        <v>66</v>
      </c>
      <c r="D27" s="14" t="s">
        <v>81</v>
      </c>
      <c r="E27" s="14" t="s">
        <v>239</v>
      </c>
      <c r="F27" s="14" t="s">
        <v>240</v>
      </c>
      <c r="G27" s="14">
        <v>10</v>
      </c>
      <c r="H27" s="14" t="s">
        <v>67</v>
      </c>
      <c r="I27" s="14" t="s">
        <v>390</v>
      </c>
      <c r="J27" s="14" t="s">
        <v>391</v>
      </c>
      <c r="K27" s="14">
        <v>1</v>
      </c>
      <c r="L27" s="15" t="s">
        <v>243</v>
      </c>
      <c r="M27" t="s">
        <v>87</v>
      </c>
      <c r="N27" t="s">
        <v>244</v>
      </c>
    </row>
    <row r="28" spans="1:14">
      <c r="A28" s="13">
        <v>21</v>
      </c>
      <c r="B28" s="14" t="s">
        <v>570</v>
      </c>
      <c r="C28" s="14" t="s">
        <v>66</v>
      </c>
      <c r="D28" s="14" t="s">
        <v>476</v>
      </c>
      <c r="E28" s="14" t="s">
        <v>477</v>
      </c>
      <c r="F28" s="14" t="s">
        <v>478</v>
      </c>
      <c r="G28" s="14">
        <v>1</v>
      </c>
      <c r="H28" s="14" t="s">
        <v>479</v>
      </c>
      <c r="I28" s="14" t="s">
        <v>571</v>
      </c>
      <c r="J28" s="14" t="s">
        <v>572</v>
      </c>
      <c r="K28" s="14">
        <v>2</v>
      </c>
      <c r="L28" s="15" t="s">
        <v>243</v>
      </c>
      <c r="M28" t="s">
        <v>482</v>
      </c>
      <c r="N28" t="s">
        <v>483</v>
      </c>
    </row>
    <row r="29" spans="1:14">
      <c r="A29" s="13">
        <v>22</v>
      </c>
      <c r="B29" s="14" t="s">
        <v>573</v>
      </c>
      <c r="C29" s="14" t="s">
        <v>66</v>
      </c>
      <c r="D29" s="14" t="s">
        <v>476</v>
      </c>
      <c r="E29" s="14" t="s">
        <v>477</v>
      </c>
      <c r="F29" s="14" t="s">
        <v>478</v>
      </c>
      <c r="G29" s="14">
        <v>2</v>
      </c>
      <c r="H29" s="14" t="s">
        <v>479</v>
      </c>
      <c r="I29" s="14" t="s">
        <v>571</v>
      </c>
      <c r="J29" s="14" t="s">
        <v>574</v>
      </c>
      <c r="K29" s="14">
        <v>2</v>
      </c>
      <c r="L29" s="15" t="s">
        <v>243</v>
      </c>
      <c r="M29" t="s">
        <v>482</v>
      </c>
      <c r="N29" t="s">
        <v>483</v>
      </c>
    </row>
    <row r="30" spans="1:14">
      <c r="A30" s="13">
        <v>23</v>
      </c>
      <c r="B30" s="14" t="s">
        <v>575</v>
      </c>
      <c r="C30" s="14" t="s">
        <v>66</v>
      </c>
      <c r="D30" s="14" t="s">
        <v>476</v>
      </c>
      <c r="E30" s="14" t="s">
        <v>477</v>
      </c>
      <c r="F30" s="14" t="s">
        <v>478</v>
      </c>
      <c r="G30" s="14">
        <v>3</v>
      </c>
      <c r="H30" s="14" t="s">
        <v>479</v>
      </c>
      <c r="I30" s="14" t="s">
        <v>571</v>
      </c>
      <c r="J30" s="14" t="s">
        <v>576</v>
      </c>
      <c r="K30" s="14">
        <v>2</v>
      </c>
      <c r="L30" s="15" t="s">
        <v>243</v>
      </c>
      <c r="M30" t="s">
        <v>482</v>
      </c>
      <c r="N30" t="s">
        <v>483</v>
      </c>
    </row>
    <row r="31" spans="1:14">
      <c r="A31" s="13">
        <v>24</v>
      </c>
      <c r="B31" s="14" t="s">
        <v>577</v>
      </c>
      <c r="C31" s="14" t="s">
        <v>66</v>
      </c>
      <c r="D31" s="14" t="s">
        <v>476</v>
      </c>
      <c r="E31" s="14" t="s">
        <v>477</v>
      </c>
      <c r="F31" s="14" t="s">
        <v>478</v>
      </c>
      <c r="G31" s="14">
        <v>4</v>
      </c>
      <c r="H31" s="14" t="s">
        <v>479</v>
      </c>
      <c r="I31" s="14" t="s">
        <v>571</v>
      </c>
      <c r="J31" s="14" t="s">
        <v>578</v>
      </c>
      <c r="K31" s="14">
        <v>2</v>
      </c>
      <c r="L31" s="15" t="s">
        <v>243</v>
      </c>
      <c r="M31" t="s">
        <v>482</v>
      </c>
      <c r="N31" t="s">
        <v>483</v>
      </c>
    </row>
    <row r="32" spans="1:14">
      <c r="A32" s="13">
        <v>25</v>
      </c>
      <c r="B32" s="14" t="s">
        <v>579</v>
      </c>
      <c r="C32" s="14" t="s">
        <v>66</v>
      </c>
      <c r="D32" s="14" t="s">
        <v>476</v>
      </c>
      <c r="E32" s="14" t="s">
        <v>477</v>
      </c>
      <c r="F32" s="14" t="s">
        <v>478</v>
      </c>
      <c r="G32" s="14">
        <v>5</v>
      </c>
      <c r="H32" s="14" t="s">
        <v>479</v>
      </c>
      <c r="I32" s="14" t="s">
        <v>571</v>
      </c>
      <c r="J32" s="14" t="s">
        <v>580</v>
      </c>
      <c r="K32" s="14">
        <v>2</v>
      </c>
      <c r="L32" s="15" t="s">
        <v>243</v>
      </c>
      <c r="M32" t="s">
        <v>482</v>
      </c>
      <c r="N32" t="s">
        <v>483</v>
      </c>
    </row>
    <row r="33" spans="1:14">
      <c r="A33" s="13">
        <v>26</v>
      </c>
      <c r="B33" s="14" t="s">
        <v>581</v>
      </c>
      <c r="C33" s="14" t="s">
        <v>66</v>
      </c>
      <c r="D33" s="14" t="s">
        <v>476</v>
      </c>
      <c r="E33" s="14" t="s">
        <v>477</v>
      </c>
      <c r="F33" s="14" t="s">
        <v>478</v>
      </c>
      <c r="G33" s="14">
        <v>6</v>
      </c>
      <c r="H33" s="14" t="s">
        <v>479</v>
      </c>
      <c r="I33" s="14" t="s">
        <v>582</v>
      </c>
      <c r="J33" s="14" t="s">
        <v>583</v>
      </c>
      <c r="K33" s="14">
        <v>2</v>
      </c>
      <c r="L33" s="15" t="s">
        <v>243</v>
      </c>
      <c r="M33" t="s">
        <v>482</v>
      </c>
      <c r="N33" t="s">
        <v>495</v>
      </c>
    </row>
    <row r="34" spans="1:14">
      <c r="A34" s="13">
        <v>27</v>
      </c>
      <c r="B34" s="14" t="s">
        <v>584</v>
      </c>
      <c r="C34" s="14" t="s">
        <v>66</v>
      </c>
      <c r="D34" s="14" t="s">
        <v>476</v>
      </c>
      <c r="E34" s="14" t="s">
        <v>477</v>
      </c>
      <c r="F34" s="14" t="s">
        <v>478</v>
      </c>
      <c r="G34" s="14">
        <v>7</v>
      </c>
      <c r="H34" s="14" t="s">
        <v>479</v>
      </c>
      <c r="I34" s="14" t="s">
        <v>582</v>
      </c>
      <c r="J34" s="14" t="s">
        <v>585</v>
      </c>
      <c r="K34" s="14">
        <v>2</v>
      </c>
      <c r="L34" s="15" t="s">
        <v>243</v>
      </c>
      <c r="M34" t="s">
        <v>482</v>
      </c>
      <c r="N34" t="s">
        <v>495</v>
      </c>
    </row>
    <row r="35" spans="1:14">
      <c r="A35" s="13">
        <v>28</v>
      </c>
      <c r="B35" s="14" t="s">
        <v>586</v>
      </c>
      <c r="C35" s="14" t="s">
        <v>66</v>
      </c>
      <c r="D35" s="14" t="s">
        <v>476</v>
      </c>
      <c r="E35" s="14" t="s">
        <v>477</v>
      </c>
      <c r="F35" s="14" t="s">
        <v>478</v>
      </c>
      <c r="G35" s="14">
        <v>8</v>
      </c>
      <c r="H35" s="14" t="s">
        <v>479</v>
      </c>
      <c r="I35" s="14" t="s">
        <v>582</v>
      </c>
      <c r="J35" s="14" t="s">
        <v>587</v>
      </c>
      <c r="K35" s="14">
        <v>2</v>
      </c>
      <c r="L35" s="15" t="s">
        <v>243</v>
      </c>
      <c r="M35" t="s">
        <v>482</v>
      </c>
      <c r="N35" t="s">
        <v>495</v>
      </c>
    </row>
    <row r="36" spans="1:14">
      <c r="A36" s="13">
        <v>29</v>
      </c>
      <c r="B36" s="14" t="s">
        <v>588</v>
      </c>
      <c r="C36" s="14" t="s">
        <v>66</v>
      </c>
      <c r="D36" s="14" t="s">
        <v>476</v>
      </c>
      <c r="E36" s="14" t="s">
        <v>477</v>
      </c>
      <c r="F36" s="14" t="s">
        <v>478</v>
      </c>
      <c r="G36" s="14">
        <v>9</v>
      </c>
      <c r="H36" s="14" t="s">
        <v>479</v>
      </c>
      <c r="I36" s="14" t="s">
        <v>582</v>
      </c>
      <c r="J36" s="14" t="s">
        <v>589</v>
      </c>
      <c r="K36" s="14">
        <v>2</v>
      </c>
      <c r="L36" s="15" t="s">
        <v>243</v>
      </c>
      <c r="M36" t="s">
        <v>482</v>
      </c>
      <c r="N36" t="s">
        <v>495</v>
      </c>
    </row>
    <row r="37" spans="1:14">
      <c r="A37" s="13">
        <v>30</v>
      </c>
      <c r="B37" s="14" t="s">
        <v>590</v>
      </c>
      <c r="C37" s="14" t="s">
        <v>66</v>
      </c>
      <c r="D37" s="14" t="s">
        <v>476</v>
      </c>
      <c r="E37" s="14" t="s">
        <v>477</v>
      </c>
      <c r="F37" s="14" t="s">
        <v>478</v>
      </c>
      <c r="G37" s="14">
        <v>10</v>
      </c>
      <c r="H37" s="14" t="s">
        <v>479</v>
      </c>
      <c r="I37" s="14" t="s">
        <v>582</v>
      </c>
      <c r="J37" s="14" t="s">
        <v>591</v>
      </c>
      <c r="K37" s="14">
        <v>2</v>
      </c>
      <c r="L37" s="15" t="s">
        <v>243</v>
      </c>
      <c r="M37" t="s">
        <v>482</v>
      </c>
      <c r="N37" t="s">
        <v>495</v>
      </c>
    </row>
    <row r="38" spans="1:14">
      <c r="A38" s="13">
        <v>31</v>
      </c>
      <c r="B38" s="14" t="s">
        <v>459</v>
      </c>
      <c r="C38" s="14" t="s">
        <v>66</v>
      </c>
      <c r="D38" s="14" t="s">
        <v>81</v>
      </c>
      <c r="E38" s="14" t="s">
        <v>393</v>
      </c>
      <c r="F38" s="14" t="s">
        <v>394</v>
      </c>
      <c r="G38" s="14">
        <v>1</v>
      </c>
      <c r="H38" s="14" t="s">
        <v>395</v>
      </c>
      <c r="I38" s="14" t="s">
        <v>396</v>
      </c>
      <c r="J38" s="14" t="s">
        <v>460</v>
      </c>
      <c r="K38" s="14">
        <v>5</v>
      </c>
      <c r="L38" s="15" t="s">
        <v>243</v>
      </c>
      <c r="M38" t="s">
        <v>398</v>
      </c>
      <c r="N38" t="s">
        <v>399</v>
      </c>
    </row>
    <row r="39" spans="1:14">
      <c r="A39" s="13">
        <v>32</v>
      </c>
      <c r="B39" s="14" t="s">
        <v>467</v>
      </c>
      <c r="C39" s="14" t="s">
        <v>66</v>
      </c>
      <c r="D39" s="14" t="s">
        <v>81</v>
      </c>
      <c r="E39" s="14" t="s">
        <v>393</v>
      </c>
      <c r="F39" s="14" t="s">
        <v>407</v>
      </c>
      <c r="G39" s="14">
        <v>1</v>
      </c>
      <c r="H39" s="14" t="s">
        <v>408</v>
      </c>
      <c r="I39" s="14" t="s">
        <v>409</v>
      </c>
      <c r="J39" s="14" t="s">
        <v>468</v>
      </c>
      <c r="K39" s="14">
        <v>5</v>
      </c>
      <c r="L39" s="15" t="s">
        <v>243</v>
      </c>
      <c r="M39" t="s">
        <v>411</v>
      </c>
      <c r="N39" t="s">
        <v>412</v>
      </c>
    </row>
    <row r="40" spans="1:14">
      <c r="A40" s="13">
        <v>33</v>
      </c>
      <c r="B40" s="14" t="s">
        <v>461</v>
      </c>
      <c r="C40" s="14" t="s">
        <v>66</v>
      </c>
      <c r="D40" s="14" t="s">
        <v>81</v>
      </c>
      <c r="E40" s="14" t="s">
        <v>393</v>
      </c>
      <c r="F40" s="14" t="s">
        <v>394</v>
      </c>
      <c r="G40" s="14">
        <v>2</v>
      </c>
      <c r="H40" s="14" t="s">
        <v>395</v>
      </c>
      <c r="I40" s="14" t="s">
        <v>396</v>
      </c>
      <c r="J40" s="14" t="s">
        <v>462</v>
      </c>
      <c r="K40" s="14">
        <v>5</v>
      </c>
      <c r="L40" s="15" t="s">
        <v>243</v>
      </c>
      <c r="M40" t="s">
        <v>398</v>
      </c>
      <c r="N40" t="s">
        <v>399</v>
      </c>
    </row>
    <row r="41" spans="1:14">
      <c r="A41" s="13">
        <v>34</v>
      </c>
      <c r="B41" s="14" t="s">
        <v>469</v>
      </c>
      <c r="C41" s="14" t="s">
        <v>66</v>
      </c>
      <c r="D41" s="14" t="s">
        <v>81</v>
      </c>
      <c r="E41" s="14" t="s">
        <v>393</v>
      </c>
      <c r="F41" s="14" t="s">
        <v>407</v>
      </c>
      <c r="G41" s="14">
        <v>2</v>
      </c>
      <c r="H41" s="14" t="s">
        <v>408</v>
      </c>
      <c r="I41" s="14" t="s">
        <v>409</v>
      </c>
      <c r="J41" s="14" t="s">
        <v>470</v>
      </c>
      <c r="K41" s="14">
        <v>5</v>
      </c>
      <c r="L41" s="15" t="s">
        <v>243</v>
      </c>
      <c r="M41" t="s">
        <v>411</v>
      </c>
      <c r="N41" t="s">
        <v>412</v>
      </c>
    </row>
    <row r="42" spans="1:14">
      <c r="A42" s="13">
        <v>35</v>
      </c>
      <c r="B42" s="14" t="s">
        <v>463</v>
      </c>
      <c r="C42" s="14" t="s">
        <v>66</v>
      </c>
      <c r="D42" s="14" t="s">
        <v>81</v>
      </c>
      <c r="E42" s="14" t="s">
        <v>393</v>
      </c>
      <c r="F42" s="14" t="s">
        <v>394</v>
      </c>
      <c r="G42" s="14">
        <v>3</v>
      </c>
      <c r="H42" s="14" t="s">
        <v>395</v>
      </c>
      <c r="I42" s="14" t="s">
        <v>396</v>
      </c>
      <c r="J42" s="14" t="s">
        <v>464</v>
      </c>
      <c r="K42" s="14">
        <v>5</v>
      </c>
      <c r="L42" s="15" t="s">
        <v>243</v>
      </c>
      <c r="M42" t="s">
        <v>398</v>
      </c>
      <c r="N42" t="s">
        <v>399</v>
      </c>
    </row>
    <row r="43" spans="1:14">
      <c r="A43" s="13">
        <v>36</v>
      </c>
      <c r="B43" s="14" t="s">
        <v>471</v>
      </c>
      <c r="C43" s="14" t="s">
        <v>66</v>
      </c>
      <c r="D43" s="14" t="s">
        <v>81</v>
      </c>
      <c r="E43" s="14" t="s">
        <v>393</v>
      </c>
      <c r="F43" s="14" t="s">
        <v>407</v>
      </c>
      <c r="G43" s="14">
        <v>3</v>
      </c>
      <c r="H43" s="14" t="s">
        <v>408</v>
      </c>
      <c r="I43" s="14" t="s">
        <v>409</v>
      </c>
      <c r="J43" s="14" t="s">
        <v>472</v>
      </c>
      <c r="K43" s="14">
        <v>5</v>
      </c>
      <c r="L43" s="15" t="s">
        <v>243</v>
      </c>
      <c r="M43" t="s">
        <v>411</v>
      </c>
      <c r="N43" t="s">
        <v>412</v>
      </c>
    </row>
    <row r="44" spans="1:14">
      <c r="A44" s="13">
        <v>37</v>
      </c>
      <c r="B44" s="14" t="s">
        <v>465</v>
      </c>
      <c r="C44" s="14" t="s">
        <v>66</v>
      </c>
      <c r="D44" s="14" t="s">
        <v>81</v>
      </c>
      <c r="E44" s="14" t="s">
        <v>393</v>
      </c>
      <c r="F44" s="14" t="s">
        <v>394</v>
      </c>
      <c r="G44" s="14">
        <v>4</v>
      </c>
      <c r="H44" s="14" t="s">
        <v>395</v>
      </c>
      <c r="I44" s="14" t="s">
        <v>396</v>
      </c>
      <c r="J44" s="14" t="s">
        <v>466</v>
      </c>
      <c r="K44" s="14">
        <v>5</v>
      </c>
      <c r="L44" s="15" t="s">
        <v>243</v>
      </c>
      <c r="M44" t="s">
        <v>398</v>
      </c>
      <c r="N44" t="s">
        <v>399</v>
      </c>
    </row>
    <row r="45" spans="1:14">
      <c r="A45" s="21">
        <v>38</v>
      </c>
      <c r="B45" s="22" t="s">
        <v>609</v>
      </c>
      <c r="C45" s="22" t="s">
        <v>66</v>
      </c>
      <c r="D45" s="22" t="s">
        <v>476</v>
      </c>
      <c r="E45" s="22" t="s">
        <v>593</v>
      </c>
      <c r="F45" s="22" t="s">
        <v>594</v>
      </c>
      <c r="G45" s="22">
        <v>1</v>
      </c>
      <c r="H45" s="22" t="s">
        <v>595</v>
      </c>
      <c r="I45" s="22" t="s">
        <v>610</v>
      </c>
      <c r="J45" s="22" t="s">
        <v>611</v>
      </c>
      <c r="K45" s="22">
        <v>25</v>
      </c>
      <c r="L45" s="23" t="s">
        <v>243</v>
      </c>
      <c r="M45" t="s">
        <v>598</v>
      </c>
      <c r="N45" t="s">
        <v>599</v>
      </c>
    </row>
  </sheetData>
  <mergeCells count="3">
    <mergeCell ref="A1:L1"/>
    <mergeCell ref="N1:Q1"/>
    <mergeCell ref="A2:L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使用说明</vt:lpstr>
      <vt:lpstr>教材范围确认</vt:lpstr>
      <vt:lpstr>教材内容题库主表</vt:lpstr>
      <vt:lpstr>四级内容题库主表</vt:lpstr>
      <vt:lpstr>五套蓝图总览</vt:lpstr>
      <vt:lpstr>A卷蓝图</vt:lpstr>
      <vt:lpstr>B卷蓝图</vt:lpstr>
      <vt:lpstr>C卷蓝图</vt:lpstr>
      <vt:lpstr>D卷蓝图</vt:lpstr>
      <vt:lpstr>E卷蓝图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2026-05-04T09:16:00Z</dcterms:created>
  <dcterms:modified xsi:type="dcterms:W3CDTF">2026-05-06T09:15:19Z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BAF7FEA7A3E44922902D2C28B06B5269_12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